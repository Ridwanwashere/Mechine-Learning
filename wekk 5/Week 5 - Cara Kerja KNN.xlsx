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.S6\RE603\wekk 5\"/>
    </mc:Choice>
  </mc:AlternateContent>
  <xr:revisionPtr revIDLastSave="0" documentId="8_{CA911143-27D6-4E26-BBC0-1FF7636CA0D2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S37" i="1" l="1"/>
  <c r="S34" i="1"/>
  <c r="S31" i="1"/>
  <c r="S27" i="1"/>
  <c r="S21" i="1"/>
  <c r="S19" i="1"/>
  <c r="S18" i="1"/>
  <c r="S20" i="1"/>
  <c r="S24" i="1"/>
  <c r="S28" i="1"/>
  <c r="S33" i="1"/>
  <c r="S30" i="1"/>
  <c r="S26" i="1"/>
  <c r="S22" i="1"/>
  <c r="S25" i="1"/>
  <c r="S23" i="1"/>
  <c r="S29" i="1"/>
  <c r="S32" i="1"/>
  <c r="S35" i="1"/>
  <c r="S36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</calcChain>
</file>

<file path=xl/sharedStrings.xml><?xml version="1.0" encoding="utf-8"?>
<sst xmlns="http://schemas.openxmlformats.org/spreadsheetml/2006/main" count="145" uniqueCount="29">
  <si>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</si>
  <si>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</si>
  <si>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</si>
  <si>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</si>
  <si>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</si>
  <si>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</si>
  <si>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</si>
  <si>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</si>
  <si>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X1 = 4</t>
  </si>
  <si>
    <t>X2 = 5</t>
  </si>
  <si>
    <t>B</t>
  </si>
  <si>
    <t>2. Pengukuran Jarak</t>
  </si>
  <si>
    <t>3 - 6 Pemilihan Jumlah Tetangga (K = 3) dan identifikasi tetangga terdekat</t>
  </si>
  <si>
    <t>4. Visualisasi Persebaran Data (BEFORE)</t>
  </si>
  <si>
    <t>Menggunakan jarak euclidean, untuk menghitung jarak antara titik baru (X1 = 4, X2 = 5) dari setiap titik data.</t>
  </si>
  <si>
    <t># Urutkan data berdasarkan jarak dari yang terkecil</t>
  </si>
  <si>
    <t># Tentukan 3 tetangga terdekat</t>
  </si>
  <si>
    <t>ID 14 = Jarak 2 = Kelas A</t>
  </si>
  <si>
    <t>ID 5 = Jarak 2.236 = Kelas B</t>
  </si>
  <si>
    <t>ID = Jarak 2.236 = Kelas B</t>
  </si>
  <si>
    <t>Jarak dari (4,5)</t>
  </si>
  <si>
    <t>Mayoritas adalah B (2 suara B, 1 suara A)</t>
  </si>
  <si>
    <t>?</t>
  </si>
  <si>
    <r>
      <rPr>
        <sz val="11"/>
        <color theme="1"/>
        <rFont val="Calibri"/>
      </rPr>
      <t>Maka titik baru (X1 = 4,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3</t>
    </r>
  </si>
  <si>
    <t>Visualisasi Persebaran Data Setelah Menggunakan Model KNN (AFTER)</t>
  </si>
  <si>
    <t>k=5</t>
  </si>
  <si>
    <t>titik baru</t>
  </si>
  <si>
    <t>x1 = 5</t>
  </si>
  <si>
    <t>x2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</si>
</sst>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id-ID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layout>
        <c:manualLayout>
          <c:xMode val="edge"/>
          <c:yMode val="edge"/>
          <c:x val="0.19416122004357297"/>
          <c:y val="0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4F-4EB6-ACFD-FA19BD0268F8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4F-4EB6-ACFD-FA19BD0268F8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4F-4EB6-ACFD-FA19BD0268F8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4F-4EB6-ACFD-FA19BD0268F8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4F-4EB6-ACFD-FA19BD0268F8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4F-4EB6-ACFD-FA19BD0268F8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4F-4EB6-ACFD-FA19BD0268F8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4F-4EB6-ACFD-FA19BD0268F8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4F-4EB6-ACFD-FA19BD0268F8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4F-4EB6-ACFD-FA19BD0268F8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4F-4EB6-ACFD-FA19BD0268F8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A4F-4EB6-ACFD-FA19BD026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id-ID" sz="1400" b="0" i="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9B-4A9F-BA91-DEC66EB67D4A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Sheet1!$AB$44:$AB$45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9B-4A9F-BA91-DEC66EB67D4A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Sheet1!$AB$49:$AB$51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9B-4A9F-BA91-DEC66EB67D4A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Sheet1!$AB$53:$AB$55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9B-4A9F-BA91-DEC66EB67D4A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Sheet1!$AC$38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9B-4A9F-BA91-DEC66EB67D4A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Sheet1!$AC$41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9B-4A9F-BA91-DEC66EB67D4A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Sheet1!$AC$44:$AC$45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9B-4A9F-BA91-DEC66EB67D4A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Sheet1!$AC$49:$AC$51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9B-4A9F-BA91-DEC66EB67D4A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Sheet1!$AC$53:$AC$55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9B-4A9F-BA91-DEC66EB67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29832"/>
        <c:crosses val="autoZero"/>
        <c:crossBetween val="midCat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d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1618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Sheet1!$S$17</c:f>
              <c:strCache>
                <c:ptCount val="1"/>
                <c:pt idx="0">
                  <c:v>Jarak dari (4,5)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multiLvlStrRef>
              <c:f>Sheet1!$O$18:$R$37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B</c:v>
                  </c:pt>
                  <c:pt idx="7">
                    <c:v>B</c:v>
                  </c:pt>
                  <c:pt idx="8">
                    <c:v>A</c:v>
                  </c:pt>
                  <c:pt idx="9">
                    <c:v>A</c:v>
                  </c:pt>
                  <c:pt idx="10">
                    <c:v>B</c:v>
                  </c:pt>
                  <c:pt idx="11">
                    <c:v>B</c:v>
                  </c:pt>
                  <c:pt idx="12">
                    <c:v>B</c:v>
                  </c:pt>
                  <c:pt idx="13">
                    <c:v>A</c:v>
                  </c:pt>
                  <c:pt idx="14">
                    <c:v>A</c:v>
                  </c:pt>
                  <c:pt idx="15">
                    <c:v>A</c:v>
                  </c:pt>
                  <c:pt idx="16">
                    <c:v>B</c:v>
                  </c:pt>
                  <c:pt idx="17">
                    <c:v>A</c:v>
                  </c:pt>
                  <c:pt idx="18">
                    <c:v>A</c:v>
                  </c:pt>
                  <c:pt idx="19">
                    <c:v>A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7</c:v>
                  </c:pt>
                  <c:pt idx="3">
                    <c:v>8</c:v>
                  </c:pt>
                  <c:pt idx="4">
                    <c:v>4</c:v>
                  </c:pt>
                  <c:pt idx="5">
                    <c:v>3</c:v>
                  </c:pt>
                  <c:pt idx="6">
                    <c:v>6</c:v>
                  </c:pt>
                  <c:pt idx="7">
                    <c:v>3</c:v>
                  </c:pt>
                  <c:pt idx="8">
                    <c:v>4</c:v>
                  </c:pt>
                  <c:pt idx="9">
                    <c:v>9</c:v>
                  </c:pt>
                  <c:pt idx="10">
                    <c:v>6</c:v>
                  </c:pt>
                  <c:pt idx="11">
                    <c:v>2</c:v>
                  </c:pt>
                  <c:pt idx="12">
                    <c:v>5</c:v>
                  </c:pt>
                  <c:pt idx="13">
                    <c:v>9</c:v>
                  </c:pt>
                  <c:pt idx="14">
                    <c:v>2</c:v>
                  </c:pt>
                  <c:pt idx="15">
                    <c:v>5</c:v>
                  </c:pt>
                  <c:pt idx="16">
                    <c:v>10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10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3</c:v>
                  </c:pt>
                  <c:pt idx="3">
                    <c:v>6</c:v>
                  </c:pt>
                  <c:pt idx="4">
                    <c:v>7</c:v>
                  </c:pt>
                  <c:pt idx="5">
                    <c:v>5</c:v>
                  </c:pt>
                  <c:pt idx="6">
                    <c:v>2</c:v>
                  </c:pt>
                  <c:pt idx="7">
                    <c:v>6</c:v>
                  </c:pt>
                  <c:pt idx="8">
                    <c:v>8</c:v>
                  </c:pt>
                  <c:pt idx="9">
                    <c:v>7</c:v>
                  </c:pt>
                  <c:pt idx="10">
                    <c:v>1</c:v>
                  </c:pt>
                  <c:pt idx="11">
                    <c:v>4</c:v>
                  </c:pt>
                  <c:pt idx="12">
                    <c:v>9</c:v>
                  </c:pt>
                  <c:pt idx="13">
                    <c:v>8</c:v>
                  </c:pt>
                  <c:pt idx="14">
                    <c:v>3</c:v>
                  </c:pt>
                  <c:pt idx="15">
                    <c:v>10</c:v>
                  </c:pt>
                  <c:pt idx="16">
                    <c:v>9</c:v>
                  </c:pt>
                  <c:pt idx="17">
                    <c:v>2</c:v>
                  </c:pt>
                  <c:pt idx="18">
                    <c:v>1</c:v>
                  </c:pt>
                  <c:pt idx="19">
                    <c:v>10</c:v>
                  </c:pt>
                </c:lvl>
                <c:lvl>
                  <c:pt idx="0">
                    <c:v>14</c:v>
                  </c:pt>
                  <c:pt idx="1">
                    <c:v>15</c:v>
                  </c:pt>
                  <c:pt idx="2">
                    <c:v>13</c:v>
                  </c:pt>
                  <c:pt idx="3">
                    <c:v>16</c:v>
                  </c:pt>
                  <c:pt idx="4">
                    <c:v>7</c:v>
                  </c:pt>
                  <c:pt idx="5">
                    <c:v>5</c:v>
                  </c:pt>
                  <c:pt idx="6">
                    <c:v>12</c:v>
                  </c:pt>
                  <c:pt idx="7">
                    <c:v>6</c:v>
                  </c:pt>
                  <c:pt idx="8">
                    <c:v>8</c:v>
                  </c:pt>
                  <c:pt idx="9">
                    <c:v>17</c:v>
                  </c:pt>
                  <c:pt idx="10">
                    <c:v>11</c:v>
                  </c:pt>
                  <c:pt idx="11">
                    <c:v>4</c:v>
                  </c:pt>
                  <c:pt idx="12">
                    <c:v>9</c:v>
                  </c:pt>
                  <c:pt idx="13">
                    <c:v>18</c:v>
                  </c:pt>
                  <c:pt idx="14">
                    <c:v>3</c:v>
                  </c:pt>
                  <c:pt idx="15">
                    <c:v>10</c:v>
                  </c:pt>
                  <c:pt idx="16">
                    <c:v>19</c:v>
                  </c:pt>
                  <c:pt idx="17">
                    <c:v>2</c:v>
                  </c:pt>
                  <c:pt idx="18">
                    <c:v>1</c:v>
                  </c:pt>
                  <c:pt idx="19">
                    <c:v>20</c:v>
                  </c:pt>
                </c:lvl>
              </c:multiLvlStrCache>
            </c:multiLvlStrRef>
          </c:xVal>
          <c:yVal>
            <c:numRef>
              <c:f>Sheet1!$S$18:$S$37</c:f>
              <c:numCache>
                <c:formatCode>General</c:formatCode>
                <c:ptCount val="20"/>
                <c:pt idx="0">
                  <c:v>1.4142135623730951</c:v>
                </c:pt>
                <c:pt idx="1">
                  <c:v>2</c:v>
                </c:pt>
                <c:pt idx="2">
                  <c:v>2.2360679774997898</c:v>
                </c:pt>
                <c:pt idx="3">
                  <c:v>2.2360679774997898</c:v>
                </c:pt>
                <c:pt idx="4">
                  <c:v>2.8284271247461903</c:v>
                </c:pt>
                <c:pt idx="5">
                  <c:v>3</c:v>
                </c:pt>
                <c:pt idx="6">
                  <c:v>3</c:v>
                </c:pt>
                <c:pt idx="7">
                  <c:v>3.1622776601683795</c:v>
                </c:pt>
                <c:pt idx="8">
                  <c:v>3.6055512754639891</c:v>
                </c:pt>
                <c:pt idx="9">
                  <c:v>3.6055512754639891</c:v>
                </c:pt>
                <c:pt idx="10">
                  <c:v>4</c:v>
                </c:pt>
                <c:pt idx="11">
                  <c:v>4.1231056256176606</c:v>
                </c:pt>
                <c:pt idx="12">
                  <c:v>4.1231056256176606</c:v>
                </c:pt>
                <c:pt idx="13">
                  <c:v>4.2426406871192848</c:v>
                </c:pt>
                <c:pt idx="14">
                  <c:v>4.4721359549995796</c:v>
                </c:pt>
                <c:pt idx="15">
                  <c:v>5.0990195135927845</c:v>
                </c:pt>
                <c:pt idx="16">
                  <c:v>5.6568542494923806</c:v>
                </c:pt>
                <c:pt idx="17">
                  <c:v>5.8309518948453007</c:v>
                </c:pt>
                <c:pt idx="18">
                  <c:v>6.4031242374328485</c:v>
                </c:pt>
                <c:pt idx="19">
                  <c:v>6.4031242374328485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9-4DF3-8E4A-FE217B3C8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229104"/>
        <c:axId val="509229584"/>
      </c:scatterChart>
      <c:valAx>
        <c:axId val="5092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29584"/>
        <c:crosses val="autoZero"/>
        <c:crossBetween val="midCat"/>
      </c:valAx>
      <c:valAx>
        <c:axId val="5092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2910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446554</xdr:colOff>
      <xdr:row>5</xdr:row>
      <xdr:rowOff>180975</xdr:rowOff>
    </xdr:from>
    <xdr:ext cx="4371975" cy="2686050"/>
    <xdr:graphicFrame macro="">
      <xdr:nvGraphicFramePr>
        <xdr:cNvPr id="269722822" name="Chart 1">
          <a:extLst>
            <a:ext uri="{FF2B5EF4-FFF2-40B4-BE49-F238E27FC236}">
              <a16:creationId xmlns:a16="http://schemas.microsoft.com/office/drawing/2014/main" id="{00000000-0008-0000-0000-0000C6A41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31</xdr:col>
      <xdr:colOff>600075</xdr:colOff>
      <xdr:row>37</xdr:row>
      <xdr:rowOff>19050</xdr:rowOff>
    </xdr:from>
    <xdr:ext cx="4324350" cy="2876550"/>
    <xdr:graphicFrame macro="">
      <xdr:nvGraphicFramePr>
        <xdr:cNvPr id="1329484564" name="Chart 2">
          <a:extLst>
            <a:ext uri="{FF2B5EF4-FFF2-40B4-BE49-F238E27FC236}">
              <a16:creationId xmlns:a16="http://schemas.microsoft.com/office/drawing/2014/main" id="{00000000-0008-0000-0000-00001453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152400</xdr:colOff>
      <xdr:row>41</xdr:row>
      <xdr:rowOff>133350</xdr:rowOff>
    </xdr:from>
    <xdr:ext cx="1095375" cy="1200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3075" y="3184688"/>
          <a:ext cx="1085850" cy="1190625"/>
        </a:xfrm>
        <a:custGeom>
          <a:avLst/>
          <a:gdLst/>
          <a:ahLst/>
          <a:cxnLst/>
          <a:rect l="l" t="t" r="r" b="b"/>
          <a:pathLst>
            <a:path w="1143000" h="1127264" extrusionOk="0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0</xdr:colOff>
      <xdr:row>11</xdr:row>
      <xdr:rowOff>95250</xdr:rowOff>
    </xdr:from>
    <xdr:ext cx="33337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31</xdr:col>
      <xdr:colOff>443956</xdr:colOff>
      <xdr:row>21</xdr:row>
      <xdr:rowOff>139767</xdr:rowOff>
    </xdr:from>
    <xdr:to>
      <xdr:col>39</xdr:col>
      <xdr:colOff>247547</xdr:colOff>
      <xdr:row>35</xdr:row>
      <xdr:rowOff>178681</xdr:rowOff>
    </xdr:to>
    <xdr:graphicFrame macro="">
      <xdr:nvGraphicFramePr>
        <xdr:cNvPr id="5" name="Bagan 4">
          <a:extLst>
            <a:ext uri="{FF2B5EF4-FFF2-40B4-BE49-F238E27FC236}">
              <a16:creationId xmlns:a16="http://schemas.microsoft.com/office/drawing/2014/main" id="{A9DD9351-F91F-116E-0D2F-3039A5A5B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1000"/>
  <sheetViews>
    <sheetView tabSelected="1" topLeftCell="A16" zoomScale="85" zoomScaleNormal="85" workbookViewId="0">
      <selection activeCell="S40" sqref="S40"/>
    </sheetView>
  </sheetViews>
  <sheetFormatPr defaultColWidth="14.42578125" defaultRowHeight="15" customHeight="1" x14ac:dyDescent="0.25"/>
  <cols>
    <col min="1" max="11" width="8.7109375" customWidth="1"/>
    <col min="12" max="12" width="14.140625" customWidth="1"/>
    <col min="13" max="18" width="8.7109375" customWidth="1"/>
    <col min="19" max="19" width="14.140625" customWidth="1"/>
    <col min="20" max="30" width="8.7109375" customWidth="1"/>
    <col min="31" max="31" width="15.7109375" customWidth="1"/>
    <col min="32" max="40" width="8.7109375" customWidth="1"/>
  </cols>
  <sheetData>
    <row r="2" spans="3:30" ht="46.5" x14ac:dyDescent="0.7">
      <c r="J2" s="16" t="s">
        <v>0</v>
      </c>
      <c r="K2" s="14"/>
      <c r="L2" s="14"/>
      <c r="M2" s="14"/>
      <c r="N2" s="14"/>
    </row>
    <row r="4" spans="3:30" x14ac:dyDescent="0.25">
      <c r="C4" s="1" t="s">
        <v>1</v>
      </c>
    </row>
    <row r="5" spans="3:30" ht="30" x14ac:dyDescent="0.2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I5" s="19" t="s">
        <v>26</v>
      </c>
      <c r="J5" s="19"/>
    </row>
    <row r="6" spans="3:30" x14ac:dyDescent="0.25">
      <c r="C6" s="4">
        <v>1</v>
      </c>
      <c r="D6" s="4">
        <v>1</v>
      </c>
      <c r="E6" s="4">
        <v>1</v>
      </c>
      <c r="F6" s="4" t="s">
        <v>7</v>
      </c>
      <c r="H6" s="5" t="s">
        <v>8</v>
      </c>
      <c r="I6" t="s">
        <v>27</v>
      </c>
      <c r="J6" t="s">
        <v>25</v>
      </c>
    </row>
    <row r="7" spans="3:30" x14ac:dyDescent="0.25">
      <c r="C7" s="4">
        <v>2</v>
      </c>
      <c r="D7" s="4">
        <v>2</v>
      </c>
      <c r="E7" s="4">
        <v>1</v>
      </c>
      <c r="F7" s="4" t="s">
        <v>7</v>
      </c>
      <c r="H7" s="5" t="s">
        <v>9</v>
      </c>
      <c r="I7" t="s">
        <v>28</v>
      </c>
    </row>
    <row r="8" spans="3:30" x14ac:dyDescent="0.25">
      <c r="C8" s="4">
        <v>3</v>
      </c>
      <c r="D8" s="4">
        <v>3</v>
      </c>
      <c r="E8" s="4">
        <v>2</v>
      </c>
      <c r="F8" s="4" t="s">
        <v>7</v>
      </c>
    </row>
    <row r="9" spans="3:30" ht="15" customHeight="1" x14ac:dyDescent="0.25">
      <c r="C9" s="4">
        <v>4</v>
      </c>
      <c r="D9" s="4">
        <v>4</v>
      </c>
      <c r="E9" s="4">
        <v>2</v>
      </c>
      <c r="F9" s="4" t="s">
        <v>10</v>
      </c>
      <c r="H9" s="17" t="s">
        <v>11</v>
      </c>
      <c r="I9" s="14"/>
      <c r="O9" s="18" t="s">
        <v>12</v>
      </c>
      <c r="P9" s="14"/>
      <c r="Q9" s="14"/>
      <c r="R9" s="14"/>
      <c r="S9" s="14"/>
      <c r="AA9" s="17" t="s">
        <v>13</v>
      </c>
      <c r="AB9" s="14"/>
      <c r="AC9" s="14"/>
      <c r="AD9" s="14"/>
    </row>
    <row r="10" spans="3:30" x14ac:dyDescent="0.25">
      <c r="C10" s="4">
        <v>5</v>
      </c>
      <c r="D10" s="4">
        <v>5</v>
      </c>
      <c r="E10" s="4">
        <v>3</v>
      </c>
      <c r="F10" s="4" t="s">
        <v>10</v>
      </c>
      <c r="H10" s="13" t="s">
        <v>14</v>
      </c>
      <c r="I10" s="14"/>
      <c r="J10" s="14"/>
      <c r="K10" s="14"/>
      <c r="L10" s="14"/>
      <c r="M10" s="14"/>
      <c r="O10" s="14"/>
      <c r="P10" s="14"/>
      <c r="Q10" s="14"/>
      <c r="R10" s="14"/>
      <c r="S10" s="14"/>
    </row>
    <row r="11" spans="3:30" x14ac:dyDescent="0.25">
      <c r="C11" s="4">
        <v>6</v>
      </c>
      <c r="D11" s="4">
        <v>6</v>
      </c>
      <c r="E11" s="4">
        <v>3</v>
      </c>
      <c r="F11" s="4" t="s">
        <v>10</v>
      </c>
      <c r="H11" s="14"/>
      <c r="I11" s="14"/>
      <c r="J11" s="14"/>
      <c r="K11" s="14"/>
      <c r="L11" s="14"/>
      <c r="M11" s="14"/>
      <c r="O11" s="6" t="s">
        <v>15</v>
      </c>
      <c r="AA11" s="2" t="s">
        <v>2</v>
      </c>
      <c r="AB11" s="2" t="s">
        <v>3</v>
      </c>
      <c r="AC11" s="2" t="s">
        <v>4</v>
      </c>
      <c r="AD11" s="2" t="s">
        <v>5</v>
      </c>
    </row>
    <row r="12" spans="3:30" x14ac:dyDescent="0.25">
      <c r="C12" s="4">
        <v>7</v>
      </c>
      <c r="D12" s="4">
        <v>7</v>
      </c>
      <c r="E12" s="4">
        <v>4</v>
      </c>
      <c r="F12" s="4" t="s">
        <v>7</v>
      </c>
      <c r="H12" s="7"/>
      <c r="O12" s="6" t="s">
        <v>16</v>
      </c>
      <c r="AA12" s="4">
        <v>1</v>
      </c>
      <c r="AB12" s="4">
        <v>1</v>
      </c>
      <c r="AC12" s="4">
        <v>1</v>
      </c>
      <c r="AD12" s="4" t="s">
        <v>7</v>
      </c>
    </row>
    <row r="13" spans="3:30" x14ac:dyDescent="0.25">
      <c r="C13" s="4">
        <v>8</v>
      </c>
      <c r="D13" s="4">
        <v>8</v>
      </c>
      <c r="E13" s="4">
        <v>4</v>
      </c>
      <c r="F13" s="4" t="s">
        <v>7</v>
      </c>
      <c r="O13" s="6" t="s">
        <v>17</v>
      </c>
      <c r="AA13" s="4">
        <v>2</v>
      </c>
      <c r="AB13" s="4">
        <v>2</v>
      </c>
      <c r="AC13" s="4">
        <v>1</v>
      </c>
      <c r="AD13" s="4" t="s">
        <v>7</v>
      </c>
    </row>
    <row r="14" spans="3:30" x14ac:dyDescent="0.25">
      <c r="C14" s="4">
        <v>9</v>
      </c>
      <c r="D14" s="4">
        <v>9</v>
      </c>
      <c r="E14" s="4">
        <v>5</v>
      </c>
      <c r="F14" s="4" t="s">
        <v>10</v>
      </c>
      <c r="O14" s="6" t="s">
        <v>18</v>
      </c>
      <c r="AA14" s="4">
        <v>3</v>
      </c>
      <c r="AB14" s="4">
        <v>3</v>
      </c>
      <c r="AC14" s="4">
        <v>2</v>
      </c>
      <c r="AD14" s="4" t="s">
        <v>7</v>
      </c>
    </row>
    <row r="15" spans="3:30" x14ac:dyDescent="0.25">
      <c r="C15" s="4">
        <v>10</v>
      </c>
      <c r="D15" s="4">
        <v>10</v>
      </c>
      <c r="E15" s="4">
        <v>5</v>
      </c>
      <c r="F15" s="4" t="s">
        <v>7</v>
      </c>
      <c r="O15" s="6" t="s">
        <v>19</v>
      </c>
      <c r="AA15" s="4">
        <v>4</v>
      </c>
      <c r="AB15" s="4">
        <v>4</v>
      </c>
      <c r="AC15" s="4">
        <v>2</v>
      </c>
      <c r="AD15" s="4" t="s">
        <v>10</v>
      </c>
    </row>
    <row r="16" spans="3:30" ht="19.5" customHeight="1" x14ac:dyDescent="0.25">
      <c r="C16" s="4">
        <v>11</v>
      </c>
      <c r="D16" s="4">
        <v>1</v>
      </c>
      <c r="E16" s="4">
        <v>6</v>
      </c>
      <c r="F16" s="4" t="s">
        <v>10</v>
      </c>
      <c r="AA16" s="4">
        <v>5</v>
      </c>
      <c r="AB16" s="4">
        <v>5</v>
      </c>
      <c r="AC16" s="4">
        <v>3</v>
      </c>
      <c r="AD16" s="4" t="s">
        <v>10</v>
      </c>
    </row>
    <row r="17" spans="3:30" x14ac:dyDescent="0.25">
      <c r="C17" s="4">
        <v>12</v>
      </c>
      <c r="D17" s="4">
        <v>2</v>
      </c>
      <c r="E17" s="4">
        <v>6</v>
      </c>
      <c r="F17" s="4" t="s">
        <v>10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20</v>
      </c>
      <c r="O17" s="2" t="s">
        <v>2</v>
      </c>
      <c r="P17" s="2" t="s">
        <v>3</v>
      </c>
      <c r="Q17" s="2" t="s">
        <v>4</v>
      </c>
      <c r="R17" s="2" t="s">
        <v>5</v>
      </c>
      <c r="S17" s="2" t="s">
        <v>20</v>
      </c>
      <c r="AA17" s="4">
        <v>6</v>
      </c>
      <c r="AB17" s="4">
        <v>6</v>
      </c>
      <c r="AC17" s="4">
        <v>3</v>
      </c>
      <c r="AD17" s="4" t="s">
        <v>10</v>
      </c>
    </row>
    <row r="18" spans="3:30" x14ac:dyDescent="0.25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SQRT((I18-5)^2+(J18-6)^2)</f>
        <v>6.4031242374328485</v>
      </c>
      <c r="O18" s="11">
        <v>14</v>
      </c>
      <c r="P18" s="11">
        <v>4</v>
      </c>
      <c r="Q18" s="11">
        <v>7</v>
      </c>
      <c r="R18" s="11" t="s">
        <v>7</v>
      </c>
      <c r="S18" s="12">
        <f t="shared" ref="S18:S37" si="0">SQRT((P18-5)^2+(Q18-6)^2)</f>
        <v>1.4142135623730951</v>
      </c>
      <c r="AA18" s="4">
        <v>7</v>
      </c>
      <c r="AB18" s="4">
        <v>7</v>
      </c>
      <c r="AC18" s="4">
        <v>4</v>
      </c>
      <c r="AD18" s="4" t="s">
        <v>7</v>
      </c>
    </row>
    <row r="19" spans="3:30" x14ac:dyDescent="0.25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1">SQRT((I19-5)^2+(J19-6)^2)</f>
        <v>5.8309518948453007</v>
      </c>
      <c r="O19" s="11">
        <v>15</v>
      </c>
      <c r="P19" s="11">
        <v>5</v>
      </c>
      <c r="Q19" s="11">
        <v>8</v>
      </c>
      <c r="R19" s="11" t="s">
        <v>10</v>
      </c>
      <c r="S19" s="12">
        <f t="shared" si="0"/>
        <v>2</v>
      </c>
      <c r="AA19" s="4">
        <v>8</v>
      </c>
      <c r="AB19" s="4">
        <v>8</v>
      </c>
      <c r="AC19" s="4">
        <v>4</v>
      </c>
      <c r="AD19" s="4" t="s">
        <v>7</v>
      </c>
    </row>
    <row r="20" spans="3:30" x14ac:dyDescent="0.25">
      <c r="C20" s="4">
        <v>15</v>
      </c>
      <c r="D20" s="4">
        <v>5</v>
      </c>
      <c r="E20" s="4">
        <v>8</v>
      </c>
      <c r="F20" s="4" t="s">
        <v>10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1"/>
        <v>4.4721359549995796</v>
      </c>
      <c r="O20" s="11">
        <v>13</v>
      </c>
      <c r="P20" s="11">
        <v>3</v>
      </c>
      <c r="Q20" s="11">
        <v>7</v>
      </c>
      <c r="R20" s="11" t="s">
        <v>7</v>
      </c>
      <c r="S20" s="12">
        <f t="shared" si="0"/>
        <v>2.2360679774997898</v>
      </c>
      <c r="AA20" s="4">
        <v>9</v>
      </c>
      <c r="AB20" s="4">
        <v>9</v>
      </c>
      <c r="AC20" s="4">
        <v>5</v>
      </c>
      <c r="AD20" s="4" t="s">
        <v>10</v>
      </c>
    </row>
    <row r="21" spans="3:30" ht="15.75" customHeight="1" x14ac:dyDescent="0.25">
      <c r="C21" s="4">
        <v>16</v>
      </c>
      <c r="D21" s="4">
        <v>6</v>
      </c>
      <c r="E21" s="4">
        <v>8</v>
      </c>
      <c r="F21" s="4" t="s">
        <v>10</v>
      </c>
      <c r="H21" s="4">
        <v>4</v>
      </c>
      <c r="I21" s="4">
        <v>4</v>
      </c>
      <c r="J21" s="4">
        <v>2</v>
      </c>
      <c r="K21" s="4" t="s">
        <v>10</v>
      </c>
      <c r="L21" s="8">
        <f t="shared" si="1"/>
        <v>4.1231056256176606</v>
      </c>
      <c r="O21" s="11">
        <v>16</v>
      </c>
      <c r="P21" s="11">
        <v>6</v>
      </c>
      <c r="Q21" s="11">
        <v>8</v>
      </c>
      <c r="R21" s="11" t="s">
        <v>10</v>
      </c>
      <c r="S21" s="12">
        <f t="shared" si="0"/>
        <v>2.2360679774997898</v>
      </c>
      <c r="AA21" s="4">
        <v>10</v>
      </c>
      <c r="AB21" s="4">
        <v>10</v>
      </c>
      <c r="AC21" s="4">
        <v>5</v>
      </c>
      <c r="AD21" s="4" t="s">
        <v>7</v>
      </c>
    </row>
    <row r="22" spans="3:30" ht="15.75" customHeight="1" x14ac:dyDescent="0.25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10</v>
      </c>
      <c r="L22" s="8">
        <f t="shared" si="1"/>
        <v>3</v>
      </c>
      <c r="O22" s="11">
        <v>7</v>
      </c>
      <c r="P22" s="11">
        <v>7</v>
      </c>
      <c r="Q22" s="11">
        <v>4</v>
      </c>
      <c r="R22" s="11" t="s">
        <v>7</v>
      </c>
      <c r="S22" s="12">
        <f t="shared" si="0"/>
        <v>2.8284271247461903</v>
      </c>
      <c r="AA22" s="4">
        <v>11</v>
      </c>
      <c r="AB22" s="4">
        <v>1</v>
      </c>
      <c r="AC22" s="4">
        <v>6</v>
      </c>
      <c r="AD22" s="4" t="s">
        <v>10</v>
      </c>
    </row>
    <row r="23" spans="3:30" ht="15.75" customHeight="1" x14ac:dyDescent="0.25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10</v>
      </c>
      <c r="L23" s="8">
        <f t="shared" si="1"/>
        <v>3.1622776601683795</v>
      </c>
      <c r="O23" s="11">
        <v>5</v>
      </c>
      <c r="P23" s="11">
        <v>5</v>
      </c>
      <c r="Q23" s="11">
        <v>3</v>
      </c>
      <c r="R23" s="11" t="s">
        <v>10</v>
      </c>
      <c r="S23" s="12">
        <f t="shared" si="0"/>
        <v>3</v>
      </c>
      <c r="AA23" s="4">
        <v>12</v>
      </c>
      <c r="AB23" s="4">
        <v>2</v>
      </c>
      <c r="AC23" s="4">
        <v>6</v>
      </c>
      <c r="AD23" s="4" t="s">
        <v>10</v>
      </c>
    </row>
    <row r="24" spans="3:30" ht="15.75" customHeight="1" x14ac:dyDescent="0.25">
      <c r="C24" s="4">
        <v>19</v>
      </c>
      <c r="D24" s="4">
        <v>9</v>
      </c>
      <c r="E24" s="4">
        <v>10</v>
      </c>
      <c r="F24" s="4" t="s">
        <v>10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1"/>
        <v>2.8284271247461903</v>
      </c>
      <c r="O24" s="4">
        <v>12</v>
      </c>
      <c r="P24" s="4">
        <v>2</v>
      </c>
      <c r="Q24" s="4">
        <v>6</v>
      </c>
      <c r="R24" s="4" t="s">
        <v>10</v>
      </c>
      <c r="S24" s="8">
        <f t="shared" si="0"/>
        <v>3</v>
      </c>
      <c r="AA24" s="4">
        <v>13</v>
      </c>
      <c r="AB24" s="4">
        <v>3</v>
      </c>
      <c r="AC24" s="4">
        <v>7</v>
      </c>
      <c r="AD24" s="4" t="s">
        <v>7</v>
      </c>
    </row>
    <row r="25" spans="3:30" ht="15.75" customHeight="1" x14ac:dyDescent="0.25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1"/>
        <v>3.6055512754639891</v>
      </c>
      <c r="O25" s="4">
        <v>6</v>
      </c>
      <c r="P25" s="4">
        <v>6</v>
      </c>
      <c r="Q25" s="4">
        <v>3</v>
      </c>
      <c r="R25" s="4" t="s">
        <v>10</v>
      </c>
      <c r="S25" s="8">
        <f t="shared" si="0"/>
        <v>3.1622776601683795</v>
      </c>
      <c r="U25" s="6" t="s">
        <v>21</v>
      </c>
      <c r="AA25" s="4">
        <v>14</v>
      </c>
      <c r="AB25" s="4">
        <v>4</v>
      </c>
      <c r="AC25" s="4">
        <v>7</v>
      </c>
      <c r="AD25" s="4" t="s">
        <v>7</v>
      </c>
    </row>
    <row r="26" spans="3:30" ht="15" customHeight="1" x14ac:dyDescent="0.25">
      <c r="C26" s="6">
        <v>21</v>
      </c>
      <c r="D26" s="6">
        <v>4</v>
      </c>
      <c r="E26" s="6">
        <v>5</v>
      </c>
      <c r="F26" s="6" t="s">
        <v>22</v>
      </c>
      <c r="H26" s="4">
        <v>9</v>
      </c>
      <c r="I26" s="4">
        <v>9</v>
      </c>
      <c r="J26" s="4">
        <v>5</v>
      </c>
      <c r="K26" s="4" t="s">
        <v>10</v>
      </c>
      <c r="L26" s="8">
        <f t="shared" si="1"/>
        <v>4.1231056256176606</v>
      </c>
      <c r="O26" s="4">
        <v>8</v>
      </c>
      <c r="P26" s="4">
        <v>8</v>
      </c>
      <c r="Q26" s="4">
        <v>4</v>
      </c>
      <c r="R26" s="4" t="s">
        <v>7</v>
      </c>
      <c r="S26" s="8">
        <f t="shared" si="0"/>
        <v>3.6055512754639891</v>
      </c>
      <c r="U26" s="13" t="s">
        <v>23</v>
      </c>
      <c r="V26" s="14"/>
      <c r="W26" s="14"/>
      <c r="X26" s="14"/>
      <c r="Y26" s="14"/>
      <c r="Z26" s="14"/>
      <c r="AA26" s="4">
        <v>15</v>
      </c>
      <c r="AB26" s="4">
        <v>5</v>
      </c>
      <c r="AC26" s="4">
        <v>8</v>
      </c>
      <c r="AD26" s="4" t="s">
        <v>10</v>
      </c>
    </row>
    <row r="27" spans="3:30" ht="15.75" customHeight="1" x14ac:dyDescent="0.25">
      <c r="H27" s="4">
        <v>10</v>
      </c>
      <c r="I27" s="4">
        <v>10</v>
      </c>
      <c r="J27" s="4">
        <v>5</v>
      </c>
      <c r="K27" s="4" t="s">
        <v>7</v>
      </c>
      <c r="L27" s="8">
        <f t="shared" si="1"/>
        <v>5.0990195135927845</v>
      </c>
      <c r="O27" s="4">
        <v>17</v>
      </c>
      <c r="P27" s="4">
        <v>7</v>
      </c>
      <c r="Q27" s="4">
        <v>9</v>
      </c>
      <c r="R27" s="4" t="s">
        <v>7</v>
      </c>
      <c r="S27" s="8">
        <f t="shared" si="0"/>
        <v>3.6055512754639891</v>
      </c>
      <c r="U27" s="14"/>
      <c r="V27" s="14"/>
      <c r="W27" s="14"/>
      <c r="X27" s="14"/>
      <c r="Y27" s="14"/>
      <c r="Z27" s="14"/>
      <c r="AA27" s="4">
        <v>16</v>
      </c>
      <c r="AB27" s="4">
        <v>6</v>
      </c>
      <c r="AC27" s="4">
        <v>8</v>
      </c>
      <c r="AD27" s="4" t="s">
        <v>10</v>
      </c>
    </row>
    <row r="28" spans="3:30" ht="15.75" customHeight="1" x14ac:dyDescent="0.25">
      <c r="H28" s="4">
        <v>11</v>
      </c>
      <c r="I28" s="4">
        <v>1</v>
      </c>
      <c r="J28" s="4">
        <v>6</v>
      </c>
      <c r="K28" s="4" t="s">
        <v>10</v>
      </c>
      <c r="L28" s="8">
        <f t="shared" si="1"/>
        <v>4</v>
      </c>
      <c r="O28" s="4">
        <v>11</v>
      </c>
      <c r="P28" s="4">
        <v>1</v>
      </c>
      <c r="Q28" s="4">
        <v>6</v>
      </c>
      <c r="R28" s="4" t="s">
        <v>10</v>
      </c>
      <c r="S28" s="8">
        <f t="shared" si="0"/>
        <v>4</v>
      </c>
      <c r="AA28" s="4">
        <v>17</v>
      </c>
      <c r="AB28" s="4">
        <v>7</v>
      </c>
      <c r="AC28" s="4">
        <v>9</v>
      </c>
      <c r="AD28" s="4" t="s">
        <v>7</v>
      </c>
    </row>
    <row r="29" spans="3:30" ht="15.75" customHeight="1" x14ac:dyDescent="0.25">
      <c r="H29" s="4">
        <v>12</v>
      </c>
      <c r="I29" s="4">
        <v>2</v>
      </c>
      <c r="J29" s="4">
        <v>6</v>
      </c>
      <c r="K29" s="4" t="s">
        <v>10</v>
      </c>
      <c r="L29" s="8">
        <f t="shared" si="1"/>
        <v>3</v>
      </c>
      <c r="O29" s="4">
        <v>4</v>
      </c>
      <c r="P29" s="4">
        <v>4</v>
      </c>
      <c r="Q29" s="4">
        <v>2</v>
      </c>
      <c r="R29" s="4" t="s">
        <v>10</v>
      </c>
      <c r="S29" s="8">
        <f t="shared" si="0"/>
        <v>4.1231056256176606</v>
      </c>
      <c r="AA29" s="4">
        <v>18</v>
      </c>
      <c r="AB29" s="4">
        <v>8</v>
      </c>
      <c r="AC29" s="4">
        <v>9</v>
      </c>
      <c r="AD29" s="4" t="s">
        <v>7</v>
      </c>
    </row>
    <row r="30" spans="3:30" ht="15.75" customHeight="1" x14ac:dyDescent="0.25">
      <c r="H30" s="4">
        <v>13</v>
      </c>
      <c r="I30" s="4">
        <v>3</v>
      </c>
      <c r="J30" s="4">
        <v>7</v>
      </c>
      <c r="K30" s="4" t="s">
        <v>7</v>
      </c>
      <c r="L30" s="8">
        <f t="shared" si="1"/>
        <v>2.2360679774997898</v>
      </c>
      <c r="O30" s="4">
        <v>9</v>
      </c>
      <c r="P30" s="4">
        <v>9</v>
      </c>
      <c r="Q30" s="4">
        <v>5</v>
      </c>
      <c r="R30" s="4" t="s">
        <v>10</v>
      </c>
      <c r="S30" s="8">
        <f t="shared" si="0"/>
        <v>4.1231056256176606</v>
      </c>
      <c r="AA30" s="4">
        <v>19</v>
      </c>
      <c r="AB30" s="4">
        <v>9</v>
      </c>
      <c r="AC30" s="4">
        <v>10</v>
      </c>
      <c r="AD30" s="4" t="s">
        <v>10</v>
      </c>
    </row>
    <row r="31" spans="3:30" ht="15.75" customHeight="1" x14ac:dyDescent="0.25">
      <c r="H31" s="4">
        <v>14</v>
      </c>
      <c r="I31" s="4">
        <v>4</v>
      </c>
      <c r="J31" s="4">
        <v>7</v>
      </c>
      <c r="K31" s="4" t="s">
        <v>7</v>
      </c>
      <c r="L31" s="8">
        <f t="shared" si="1"/>
        <v>1.4142135623730951</v>
      </c>
      <c r="O31" s="4">
        <v>18</v>
      </c>
      <c r="P31" s="4">
        <v>8</v>
      </c>
      <c r="Q31" s="4">
        <v>9</v>
      </c>
      <c r="R31" s="4" t="s">
        <v>7</v>
      </c>
      <c r="S31" s="8">
        <f t="shared" si="0"/>
        <v>4.2426406871192848</v>
      </c>
      <c r="AA31" s="4">
        <v>20</v>
      </c>
      <c r="AB31" s="4">
        <v>10</v>
      </c>
      <c r="AC31" s="4">
        <v>10</v>
      </c>
      <c r="AD31" s="4" t="s">
        <v>7</v>
      </c>
    </row>
    <row r="32" spans="3:30" ht="15.75" customHeight="1" x14ac:dyDescent="0.25">
      <c r="H32" s="4">
        <v>15</v>
      </c>
      <c r="I32" s="4">
        <v>5</v>
      </c>
      <c r="J32" s="4">
        <v>8</v>
      </c>
      <c r="K32" s="4" t="s">
        <v>10</v>
      </c>
      <c r="L32" s="8">
        <f t="shared" si="1"/>
        <v>2</v>
      </c>
      <c r="O32" s="4">
        <v>3</v>
      </c>
      <c r="P32" s="4">
        <v>3</v>
      </c>
      <c r="Q32" s="4">
        <v>2</v>
      </c>
      <c r="R32" s="4" t="s">
        <v>7</v>
      </c>
      <c r="S32" s="8">
        <f t="shared" si="0"/>
        <v>4.4721359549995796</v>
      </c>
    </row>
    <row r="33" spans="8:31" ht="15.75" customHeight="1" x14ac:dyDescent="0.25">
      <c r="H33" s="4">
        <v>16</v>
      </c>
      <c r="I33" s="4">
        <v>6</v>
      </c>
      <c r="J33" s="4">
        <v>8</v>
      </c>
      <c r="K33" s="4" t="s">
        <v>10</v>
      </c>
      <c r="L33" s="8">
        <f t="shared" si="1"/>
        <v>2.2360679774997898</v>
      </c>
      <c r="O33" s="4">
        <v>10</v>
      </c>
      <c r="P33" s="4">
        <v>10</v>
      </c>
      <c r="Q33" s="4">
        <v>5</v>
      </c>
      <c r="R33" s="4" t="s">
        <v>7</v>
      </c>
      <c r="S33" s="8">
        <f t="shared" si="0"/>
        <v>5.0990195135927845</v>
      </c>
    </row>
    <row r="34" spans="8:31" ht="15.75" customHeight="1" x14ac:dyDescent="0.25">
      <c r="H34" s="4">
        <v>17</v>
      </c>
      <c r="I34" s="4">
        <v>7</v>
      </c>
      <c r="J34" s="4">
        <v>9</v>
      </c>
      <c r="K34" s="4" t="s">
        <v>7</v>
      </c>
      <c r="L34" s="8">
        <f t="shared" si="1"/>
        <v>3.6055512754639891</v>
      </c>
      <c r="O34" s="4">
        <v>19</v>
      </c>
      <c r="P34" s="4">
        <v>9</v>
      </c>
      <c r="Q34" s="4">
        <v>10</v>
      </c>
      <c r="R34" s="4" t="s">
        <v>10</v>
      </c>
      <c r="S34" s="8">
        <f t="shared" si="0"/>
        <v>5.6568542494923806</v>
      </c>
      <c r="AA34" s="15" t="s">
        <v>24</v>
      </c>
      <c r="AB34" s="14"/>
      <c r="AC34" s="14"/>
      <c r="AD34" s="14"/>
    </row>
    <row r="35" spans="8:31" ht="15.75" customHeight="1" x14ac:dyDescent="0.25">
      <c r="H35" s="4">
        <v>18</v>
      </c>
      <c r="I35" s="4">
        <v>8</v>
      </c>
      <c r="J35" s="4">
        <v>9</v>
      </c>
      <c r="K35" s="4" t="s">
        <v>7</v>
      </c>
      <c r="L35" s="8">
        <f t="shared" si="1"/>
        <v>4.2426406871192848</v>
      </c>
      <c r="O35" s="4">
        <v>2</v>
      </c>
      <c r="P35" s="4">
        <v>2</v>
      </c>
      <c r="Q35" s="4">
        <v>1</v>
      </c>
      <c r="R35" s="4" t="s">
        <v>7</v>
      </c>
      <c r="S35" s="8">
        <f t="shared" si="0"/>
        <v>5.8309518948453007</v>
      </c>
      <c r="AA35" s="14"/>
      <c r="AB35" s="14"/>
      <c r="AC35" s="14"/>
      <c r="AD35" s="14"/>
    </row>
    <row r="36" spans="8:31" ht="15.75" customHeight="1" x14ac:dyDescent="0.25">
      <c r="H36" s="4">
        <v>19</v>
      </c>
      <c r="I36" s="4">
        <v>9</v>
      </c>
      <c r="J36" s="4">
        <v>10</v>
      </c>
      <c r="K36" s="4" t="s">
        <v>10</v>
      </c>
      <c r="L36" s="8">
        <f t="shared" si="1"/>
        <v>5.6568542494923806</v>
      </c>
      <c r="O36" s="4">
        <v>1</v>
      </c>
      <c r="P36" s="4">
        <v>1</v>
      </c>
      <c r="Q36" s="4">
        <v>1</v>
      </c>
      <c r="R36" s="4" t="s">
        <v>7</v>
      </c>
      <c r="S36" s="8">
        <f t="shared" si="0"/>
        <v>6.4031242374328485</v>
      </c>
    </row>
    <row r="37" spans="8:31" ht="15.75" customHeight="1" x14ac:dyDescent="0.25">
      <c r="H37" s="4">
        <v>20</v>
      </c>
      <c r="I37" s="4">
        <v>10</v>
      </c>
      <c r="J37" s="4">
        <v>10</v>
      </c>
      <c r="K37" s="4" t="s">
        <v>7</v>
      </c>
      <c r="L37" s="8">
        <f t="shared" si="1"/>
        <v>6.4031242374328485</v>
      </c>
      <c r="O37" s="4">
        <v>20</v>
      </c>
      <c r="P37" s="4">
        <v>10</v>
      </c>
      <c r="Q37" s="4">
        <v>10</v>
      </c>
      <c r="R37" s="4" t="s">
        <v>7</v>
      </c>
      <c r="S37" s="8">
        <f t="shared" si="0"/>
        <v>6.4031242374328485</v>
      </c>
      <c r="AA37" s="2" t="s">
        <v>2</v>
      </c>
      <c r="AB37" s="2" t="s">
        <v>3</v>
      </c>
      <c r="AC37" s="2" t="s">
        <v>4</v>
      </c>
      <c r="AD37" s="2" t="s">
        <v>5</v>
      </c>
      <c r="AE37" s="2" t="s">
        <v>20</v>
      </c>
    </row>
    <row r="38" spans="8:31" ht="15.75" customHeight="1" x14ac:dyDescent="0.25">
      <c r="AA38" s="9">
        <v>14</v>
      </c>
      <c r="AB38" s="9">
        <v>4</v>
      </c>
      <c r="AC38" s="9">
        <v>7</v>
      </c>
      <c r="AD38" s="9" t="s">
        <v>7</v>
      </c>
      <c r="AE38" s="10">
        <f t="shared" ref="AE38:AE57" si="2">SQRT((AB38-4)^2+(AC38-5)^2)</f>
        <v>2</v>
      </c>
    </row>
    <row r="39" spans="8:31" ht="15.75" customHeight="1" x14ac:dyDescent="0.25">
      <c r="AA39" s="9">
        <v>5</v>
      </c>
      <c r="AB39" s="9">
        <v>5</v>
      </c>
      <c r="AC39" s="9">
        <v>3</v>
      </c>
      <c r="AD39" s="9" t="s">
        <v>10</v>
      </c>
      <c r="AE39" s="10">
        <f t="shared" si="2"/>
        <v>2.2360679774997898</v>
      </c>
    </row>
    <row r="40" spans="8:31" ht="15.75" customHeight="1" x14ac:dyDescent="0.25">
      <c r="AA40" s="9">
        <v>12</v>
      </c>
      <c r="AB40" s="9">
        <v>2</v>
      </c>
      <c r="AC40" s="9">
        <v>6</v>
      </c>
      <c r="AD40" s="9" t="s">
        <v>10</v>
      </c>
      <c r="AE40" s="10">
        <f t="shared" si="2"/>
        <v>2.2360679774997898</v>
      </c>
    </row>
    <row r="41" spans="8:31" ht="15.75" customHeight="1" x14ac:dyDescent="0.25">
      <c r="AA41" s="4">
        <v>13</v>
      </c>
      <c r="AB41" s="4">
        <v>3</v>
      </c>
      <c r="AC41" s="4">
        <v>7</v>
      </c>
      <c r="AD41" s="4" t="s">
        <v>7</v>
      </c>
      <c r="AE41" s="8">
        <f t="shared" si="2"/>
        <v>2.2360679774997898</v>
      </c>
    </row>
    <row r="42" spans="8:31" ht="15.75" customHeight="1" x14ac:dyDescent="0.25">
      <c r="AA42" s="4">
        <v>6</v>
      </c>
      <c r="AB42" s="4">
        <v>6</v>
      </c>
      <c r="AC42" s="4">
        <v>3</v>
      </c>
      <c r="AD42" s="4" t="s">
        <v>10</v>
      </c>
      <c r="AE42" s="8">
        <f t="shared" si="2"/>
        <v>2.8284271247461903</v>
      </c>
    </row>
    <row r="43" spans="8:31" ht="15.75" customHeight="1" x14ac:dyDescent="0.25">
      <c r="AA43" s="4">
        <v>4</v>
      </c>
      <c r="AB43" s="4">
        <v>4</v>
      </c>
      <c r="AC43" s="4">
        <v>2</v>
      </c>
      <c r="AD43" s="4" t="s">
        <v>10</v>
      </c>
      <c r="AE43" s="8">
        <f t="shared" si="2"/>
        <v>3</v>
      </c>
    </row>
    <row r="44" spans="8:31" ht="15.75" customHeight="1" x14ac:dyDescent="0.25">
      <c r="AA44" s="4">
        <v>3</v>
      </c>
      <c r="AB44" s="4">
        <v>3</v>
      </c>
      <c r="AC44" s="4">
        <v>2</v>
      </c>
      <c r="AD44" s="4" t="s">
        <v>7</v>
      </c>
      <c r="AE44" s="8">
        <f t="shared" si="2"/>
        <v>3.1622776601683795</v>
      </c>
    </row>
    <row r="45" spans="8:31" ht="15.75" customHeight="1" x14ac:dyDescent="0.25">
      <c r="AA45" s="4">
        <v>7</v>
      </c>
      <c r="AB45" s="4">
        <v>7</v>
      </c>
      <c r="AC45" s="4">
        <v>4</v>
      </c>
      <c r="AD45" s="4" t="s">
        <v>7</v>
      </c>
      <c r="AE45" s="8">
        <f t="shared" si="2"/>
        <v>3.1622776601683795</v>
      </c>
    </row>
    <row r="46" spans="8:31" ht="15.75" customHeight="1" x14ac:dyDescent="0.25">
      <c r="AA46" s="4">
        <v>11</v>
      </c>
      <c r="AB46" s="4">
        <v>1</v>
      </c>
      <c r="AC46" s="4">
        <v>6</v>
      </c>
      <c r="AD46" s="4" t="s">
        <v>10</v>
      </c>
      <c r="AE46" s="8">
        <f t="shared" si="2"/>
        <v>3.1622776601683795</v>
      </c>
    </row>
    <row r="47" spans="8:31" ht="15.75" customHeight="1" x14ac:dyDescent="0.25">
      <c r="AA47" s="4">
        <v>15</v>
      </c>
      <c r="AB47" s="4">
        <v>5</v>
      </c>
      <c r="AC47" s="4">
        <v>8</v>
      </c>
      <c r="AD47" s="4" t="s">
        <v>10</v>
      </c>
      <c r="AE47" s="8">
        <f t="shared" si="2"/>
        <v>3.1622776601683795</v>
      </c>
    </row>
    <row r="48" spans="8:31" ht="15.75" customHeight="1" x14ac:dyDescent="0.25">
      <c r="AA48" s="4">
        <v>16</v>
      </c>
      <c r="AB48" s="4">
        <v>6</v>
      </c>
      <c r="AC48" s="4">
        <v>8</v>
      </c>
      <c r="AD48" s="4" t="s">
        <v>10</v>
      </c>
      <c r="AE48" s="8">
        <f t="shared" si="2"/>
        <v>3.6055512754639891</v>
      </c>
    </row>
    <row r="49" spans="27:31" ht="15.75" customHeight="1" x14ac:dyDescent="0.25">
      <c r="AA49" s="4">
        <v>8</v>
      </c>
      <c r="AB49" s="4">
        <v>8</v>
      </c>
      <c r="AC49" s="4">
        <v>4</v>
      </c>
      <c r="AD49" s="4" t="s">
        <v>7</v>
      </c>
      <c r="AE49" s="8">
        <f t="shared" si="2"/>
        <v>4.1231056256176606</v>
      </c>
    </row>
    <row r="50" spans="27:31" ht="15.75" customHeight="1" x14ac:dyDescent="0.25">
      <c r="AA50" s="4">
        <v>2</v>
      </c>
      <c r="AB50" s="4">
        <v>2</v>
      </c>
      <c r="AC50" s="4">
        <v>1</v>
      </c>
      <c r="AD50" s="4" t="s">
        <v>7</v>
      </c>
      <c r="AE50" s="8">
        <f t="shared" si="2"/>
        <v>4.4721359549995796</v>
      </c>
    </row>
    <row r="51" spans="27:31" ht="15.75" customHeight="1" x14ac:dyDescent="0.25">
      <c r="AA51" s="4">
        <v>1</v>
      </c>
      <c r="AB51" s="4">
        <v>1</v>
      </c>
      <c r="AC51" s="4">
        <v>1</v>
      </c>
      <c r="AD51" s="4" t="s">
        <v>7</v>
      </c>
      <c r="AE51" s="8">
        <f t="shared" si="2"/>
        <v>5</v>
      </c>
    </row>
    <row r="52" spans="27:31" ht="15.75" customHeight="1" x14ac:dyDescent="0.25">
      <c r="AA52" s="4">
        <v>9</v>
      </c>
      <c r="AB52" s="4">
        <v>9</v>
      </c>
      <c r="AC52" s="4">
        <v>5</v>
      </c>
      <c r="AD52" s="4" t="s">
        <v>10</v>
      </c>
      <c r="AE52" s="8">
        <f t="shared" si="2"/>
        <v>5</v>
      </c>
    </row>
    <row r="53" spans="27:31" ht="15.75" customHeight="1" x14ac:dyDescent="0.25">
      <c r="AA53" s="4">
        <v>17</v>
      </c>
      <c r="AB53" s="4">
        <v>7</v>
      </c>
      <c r="AC53" s="4">
        <v>9</v>
      </c>
      <c r="AD53" s="4" t="s">
        <v>7</v>
      </c>
      <c r="AE53" s="8">
        <f t="shared" si="2"/>
        <v>5</v>
      </c>
    </row>
    <row r="54" spans="27:31" ht="15.75" customHeight="1" x14ac:dyDescent="0.25">
      <c r="AA54" s="4">
        <v>18</v>
      </c>
      <c r="AB54" s="4">
        <v>8</v>
      </c>
      <c r="AC54" s="4">
        <v>9</v>
      </c>
      <c r="AD54" s="4" t="s">
        <v>7</v>
      </c>
      <c r="AE54" s="8">
        <f t="shared" si="2"/>
        <v>5.6568542494923806</v>
      </c>
    </row>
    <row r="55" spans="27:31" ht="15.75" customHeight="1" x14ac:dyDescent="0.25">
      <c r="AA55" s="4">
        <v>10</v>
      </c>
      <c r="AB55" s="4">
        <v>10</v>
      </c>
      <c r="AC55" s="4">
        <v>5</v>
      </c>
      <c r="AD55" s="4" t="s">
        <v>7</v>
      </c>
      <c r="AE55" s="8">
        <f t="shared" si="2"/>
        <v>6</v>
      </c>
    </row>
    <row r="56" spans="27:31" ht="15.75" customHeight="1" x14ac:dyDescent="0.25">
      <c r="AA56" s="4">
        <v>19</v>
      </c>
      <c r="AB56" s="4">
        <v>9</v>
      </c>
      <c r="AC56" s="4">
        <v>10</v>
      </c>
      <c r="AD56" s="4" t="s">
        <v>10</v>
      </c>
      <c r="AE56" s="8">
        <f t="shared" si="2"/>
        <v>7.0710678118654755</v>
      </c>
    </row>
    <row r="57" spans="27:31" ht="15.75" customHeight="1" x14ac:dyDescent="0.25">
      <c r="AA57" s="4">
        <v>20</v>
      </c>
      <c r="AB57" s="4">
        <v>10</v>
      </c>
      <c r="AC57" s="4">
        <v>10</v>
      </c>
      <c r="AD57" s="4" t="s">
        <v>7</v>
      </c>
      <c r="AE57" s="8">
        <f t="shared" si="2"/>
        <v>7.810249675906654</v>
      </c>
    </row>
    <row r="58" spans="27:31" ht="15.75" customHeight="1" x14ac:dyDescent="0.25"/>
    <row r="59" spans="27:31" ht="15.75" customHeight="1" x14ac:dyDescent="0.25"/>
    <row r="60" spans="27:31" ht="15.75" customHeight="1" x14ac:dyDescent="0.25"/>
    <row r="61" spans="27:31" ht="15.75" customHeight="1" x14ac:dyDescent="0.25"/>
    <row r="62" spans="27:31" ht="15.75" customHeight="1" x14ac:dyDescent="0.25"/>
    <row r="63" spans="27:31" ht="15.75" customHeight="1" x14ac:dyDescent="0.25"/>
    <row r="64" spans="27:3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O18:S37">
    <sortCondition ref="S18:S37"/>
  </sortState>
  <mergeCells count="8">
    <mergeCell ref="U26:Z27"/>
    <mergeCell ref="AA34:AD35"/>
    <mergeCell ref="J2:N2"/>
    <mergeCell ref="H9:I9"/>
    <mergeCell ref="O9:S10"/>
    <mergeCell ref="AA9:AD9"/>
    <mergeCell ref="H10:M11"/>
    <mergeCell ref="I5:J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My Computer</cp:lastModifiedBy>
  <dcterms:created xsi:type="dcterms:W3CDTF">2025-03-25T06:11:06Z</dcterms:created>
  <dcterms:modified xsi:type="dcterms:W3CDTF">2026-04-20T13:37:55Z</dcterms:modified>
</cp:coreProperties>
</file>