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.S6\RE603\week 6\"/>
    </mc:Choice>
  </mc:AlternateContent>
  <xr:revisionPtr revIDLastSave="0" documentId="8_{937DF9B7-3B7F-4131-AFFA-F2197D54F8C8}" xr6:coauthVersionLast="45" xr6:coauthVersionMax="45" xr10:uidLastSave="{00000000-0000-0000-0000-000000000000}"/>
  <bookViews>
    <workbookView xWindow="-120" yWindow="-120" windowWidth="20730" windowHeight="11040" activeTab="1" xr2:uid="{00000000-000D-0000-FFFF-FFFF00000000}"/>
  </bookViews>
  <sheets>
    <sheet name="Data NB" sheetId="1" r:id="rId1"/>
    <sheet name="Quiz N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6" roundtripDataChecksum="IvpxLtgn7pUZIyLtdHDuz36NTvFsaIEOlEZOQPYI0Uc="/>
    </ext>
  </extLst>
</workbook>
</file>

<file path=xl/calcChain.xml><?xml version="1.0" encoding="utf-8"?>
<calcChain xmlns="http://schemas.openxmlformats.org/spreadsheetml/2006/main">
  <c r="L24" i="2" l="1"/>
  <c r="I42" i="2"/>
  <c r="D53" i="2"/>
  <c r="D52" i="2"/>
  <c r="D58" i="2" s="1"/>
  <c r="D45" i="2"/>
  <c r="D44" i="2"/>
  <c r="D43" i="2"/>
  <c r="D47" i="2"/>
  <c r="D42" i="2"/>
  <c r="C64" i="1"/>
  <c r="C63" i="1"/>
  <c r="C69" i="1" s="1"/>
  <c r="C56" i="1"/>
  <c r="C55" i="1"/>
  <c r="C54" i="1"/>
  <c r="H53" i="1"/>
  <c r="C58" i="1" s="1"/>
  <c r="C53" i="1"/>
  <c r="C52" i="1"/>
  <c r="C20" i="1"/>
  <c r="C19" i="1"/>
</calcChain>
</file>

<file path=xl/sharedStrings.xml><?xml version="1.0" encoding="utf-8"?>
<sst xmlns="http://schemas.openxmlformats.org/spreadsheetml/2006/main" count="213" uniqueCount="79">
  <si>
    <t xml:space="preserve">Cara Kerja Naive Bayes Classification </t>
  </si>
  <si>
    <t>1. Persiapan Data</t>
  </si>
  <si>
    <t>Day</t>
  </si>
  <si>
    <t>Outlook</t>
  </si>
  <si>
    <t>Temperature</t>
  </si>
  <si>
    <t>Humidity</t>
  </si>
  <si>
    <t>Wind</t>
  </si>
  <si>
    <t>Play Ball</t>
  </si>
  <si>
    <t>Sunny</t>
  </si>
  <si>
    <t>Hot</t>
  </si>
  <si>
    <t>High</t>
  </si>
  <si>
    <t>Weak</t>
  </si>
  <si>
    <t>No</t>
  </si>
  <si>
    <t>Strong</t>
  </si>
  <si>
    <t>Cloudy</t>
  </si>
  <si>
    <t>Yes</t>
  </si>
  <si>
    <t>Rain</t>
  </si>
  <si>
    <t>Mild</t>
  </si>
  <si>
    <t>Cool</t>
  </si>
  <si>
    <t>Normal</t>
  </si>
  <si>
    <t xml:space="preserve">Cool </t>
  </si>
  <si>
    <t>2. Hitung Probabilitas Kelas</t>
  </si>
  <si>
    <t>P(Yes) =</t>
  </si>
  <si>
    <t>P(No) =</t>
  </si>
  <si>
    <t>3. Hitung Probabilitas Kondisional</t>
  </si>
  <si>
    <t>Untuk menghitung probabilitas prediksi, kita perlu menghitung probabilitas dari setiap fitur terhadap kelas "Yes" dan "No".</t>
  </si>
  <si>
    <t>a. Outlook</t>
  </si>
  <si>
    <t>b. Temperature</t>
  </si>
  <si>
    <t>Yes(4)</t>
  </si>
  <si>
    <t>No(3)</t>
  </si>
  <si>
    <t>c. Humidity</t>
  </si>
  <si>
    <t>d. Wind</t>
  </si>
  <si>
    <t>Contoh Prediksi:</t>
  </si>
  <si>
    <t>Misalkan kita ingin prediksi data berikut:</t>
  </si>
  <si>
    <t>Outlook = Sunny, Temperature = cool, Humidity = High, Wind = Strong</t>
  </si>
  <si>
    <t>Hitung Probabilitas Kelas:</t>
  </si>
  <si>
    <t>P(Yes|Fitur) = P(Yes) * P(Sunny|Yes) * P(Cool|Yes) * P(High|Yes) * P(Strong|Yes)</t>
  </si>
  <si>
    <t xml:space="preserve">P(Yes) = </t>
  </si>
  <si>
    <t xml:space="preserve">P(Sunny|Yes) = </t>
  </si>
  <si>
    <t xml:space="preserve">Gunakan Laplace smoothing: (0+1)/(4+3) </t>
  </si>
  <si>
    <t xml:space="preserve">P(Cool|Yes) = </t>
  </si>
  <si>
    <t xml:space="preserve">P(High|Yes) = </t>
  </si>
  <si>
    <t xml:space="preserve">P(Strong|Yes) = </t>
  </si>
  <si>
    <t xml:space="preserve">P(Yes|Fitur) </t>
  </si>
  <si>
    <t>P(No|Fitur) = P(No) * P(Sunny|No) * P(Cool|No) * P(High|No) * P(Strong|No)</t>
  </si>
  <si>
    <t xml:space="preserve">P(No) = </t>
  </si>
  <si>
    <t xml:space="preserve">P(Sunny|No) = </t>
  </si>
  <si>
    <t xml:space="preserve">P(Cool|No) = </t>
  </si>
  <si>
    <t xml:space="preserve">P(High|No) = </t>
  </si>
  <si>
    <t xml:space="preserve">P(Strong|No) = </t>
  </si>
  <si>
    <t xml:space="preserve">P(No|Fitur) </t>
  </si>
  <si>
    <t>4. Menerapkan teorema Bayes</t>
  </si>
  <si>
    <t>📌 Kesimpulan:</t>
  </si>
  <si>
    <t>Karena P(No | Fitur) &gt; P(Yes | Fitur), maka prediksi Naive Bayes untuk data:</t>
  </si>
  <si>
    <t>Outlook = Sunny, Temperature = Cool, Humidity = High, Wind = Strong</t>
  </si>
  <si>
    <r>
      <rPr>
        <sz val="11"/>
        <color theme="1"/>
        <rFont val="Calibri"/>
      </rPr>
      <t xml:space="preserve">adalah: </t>
    </r>
    <r>
      <rPr>
        <b/>
        <sz val="11"/>
        <color theme="1"/>
        <rFont val="Calibri"/>
      </rPr>
      <t>"No"</t>
    </r>
  </si>
  <si>
    <t>Naive Bayes Classification - Quiz</t>
  </si>
  <si>
    <t>Nama :</t>
  </si>
  <si>
    <t>NIM :</t>
  </si>
  <si>
    <t xml:space="preserve">Kelas : </t>
  </si>
  <si>
    <t>1. Data</t>
  </si>
  <si>
    <t>❓Pertanyaan:</t>
  </si>
  <si>
    <r>
      <rPr>
        <sz val="11"/>
        <color theme="1"/>
        <rFont val="Calibri"/>
      </rPr>
      <t xml:space="preserve">Berdasarkan data di atas, gunakan algoritma </t>
    </r>
    <r>
      <rPr>
        <b/>
        <sz val="11"/>
        <color theme="1"/>
        <rFont val="Calibri"/>
      </rPr>
      <t>Naive Bayes</t>
    </r>
    <r>
      <rPr>
        <sz val="11"/>
        <color theme="1"/>
        <rFont val="Calibri"/>
      </rPr>
      <t xml:space="preserve"> untuk memprediksi apakah seseorang akan </t>
    </r>
    <r>
      <rPr>
        <b/>
        <sz val="11"/>
        <color theme="1"/>
        <rFont val="Calibri"/>
      </rPr>
      <t>Play = Yes atau No</t>
    </r>
    <r>
      <rPr>
        <sz val="11"/>
        <color theme="1"/>
        <rFont val="Calibri"/>
      </rPr>
      <t xml:space="preserve"> jika kondisi cuaca berikut:</t>
    </r>
  </si>
  <si>
    <t xml:space="preserve">  - Outlook = Sunny</t>
  </si>
  <si>
    <t xml:space="preserve">  - Temperature = Cool</t>
  </si>
  <si>
    <t xml:space="preserve">  - Humidity = High</t>
  </si>
  <si>
    <t xml:space="preserve">  - Wind = Weak</t>
  </si>
  <si>
    <t>Petunjuk:</t>
  </si>
  <si>
    <t>- Hitung probabilitas P(Yes) dan P(No)</t>
  </si>
  <si>
    <t>- Hitung probabilitas kondisi fitur terhadap setiap kelas</t>
  </si>
  <si>
    <t>- Gunakan Laplace smoothing jika perlu</t>
  </si>
  <si>
    <t>- Tentukan prediksi akhir berdasarkan probabilitas tertinggi</t>
  </si>
  <si>
    <t>Muhammad Ridwan</t>
  </si>
  <si>
    <t>Malam A</t>
  </si>
  <si>
    <t xml:space="preserve">Gunakan Laplace smoothing: (0+1)/(4+4) </t>
  </si>
  <si>
    <t xml:space="preserve">P(Weak|Yes) = </t>
  </si>
  <si>
    <t>P(No|Fitur) = P(No) * P(Sunny|No) * P(Cool|No) * P(High|No) * P(Weak|No)</t>
  </si>
  <si>
    <t xml:space="preserve">P(Weak|No) = </t>
  </si>
  <si>
    <t>No(4)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</si>
</sst>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p&quot;* #,##0.00_-;\-&quot;Rp&quot;* #,##0.00_-;_-&quot;Rp&quot;* &quot;-&quot;??_-;_-@_-"/>
    <numFmt numFmtId="164" formatCode="#\ ?/4"/>
    <numFmt numFmtId="165" formatCode="_(* #,##0.00000_);_(* \(#,##0.00000\);_(* &quot;-&quot;?????_);_(@_)"/>
    <numFmt numFmtId="166" formatCode="#\ ?/8"/>
  </numFmts>
  <fonts count="1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3"/>
      <color theme="1"/>
      <name val="Calibri"/>
    </font>
    <font>
      <b/>
      <sz val="10"/>
      <color theme="1"/>
      <name val="Arimo"/>
    </font>
    <font>
      <b/>
      <sz val="14"/>
      <color rgb="FFFF0000"/>
      <name val="Calibri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12" fontId="4" fillId="0" borderId="0" xfId="0" applyNumberFormat="1" applyFont="1"/>
    <xf numFmtId="0" fontId="4" fillId="0" borderId="0" xfId="0" applyFont="1" applyAlignment="1">
      <alignment vertical="top"/>
    </xf>
    <xf numFmtId="0" fontId="4" fillId="0" borderId="1" xfId="0" applyFont="1" applyBorder="1"/>
    <xf numFmtId="0" fontId="4" fillId="0" borderId="0" xfId="0" applyFont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6" fontId="4" fillId="0" borderId="0" xfId="0" applyNumberFormat="1" applyFont="1"/>
    <xf numFmtId="16" fontId="4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4" fillId="0" borderId="0" xfId="0" applyFont="1" applyAlignment="1"/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0" fillId="0" borderId="0" xfId="0"/>
    <xf numFmtId="0" fontId="0" fillId="0" borderId="0" xfId="0"/>
    <xf numFmtId="0" fontId="13" fillId="0" borderId="0" xfId="0" applyFont="1"/>
    <xf numFmtId="0" fontId="13" fillId="0" borderId="0" xfId="0" applyFont="1" applyAlignment="1">
      <alignment horizontal="center"/>
    </xf>
    <xf numFmtId="0" fontId="1" fillId="0" borderId="0" xfId="0" applyFont="1"/>
    <xf numFmtId="44" fontId="0" fillId="0" borderId="0" xfId="0" applyNumberFormat="1"/>
    <xf numFmtId="0" fontId="11" fillId="0" borderId="0" xfId="0" applyFont="1"/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12" fontId="12" fillId="0" borderId="0" xfId="0" applyNumberFormat="1" applyFont="1"/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" fillId="0" borderId="0" xfId="0" applyFont="1" applyAlignment="1"/>
    <xf numFmtId="1" fontId="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zoomScaleNormal="100" workbookViewId="0"/>
  </sheetViews>
  <sheetFormatPr defaultColWidth="14.42578125" defaultRowHeight="15" customHeight="1"/>
  <cols>
    <col min="1" max="1" width="8.7109375" customWidth="1"/>
    <col min="2" max="2" width="14.28515625" customWidth="1"/>
    <col min="3" max="3" width="12.28515625" customWidth="1"/>
    <col min="4" max="4" width="12.5703125" customWidth="1"/>
    <col min="5" max="5" width="8.7109375" customWidth="1"/>
    <col min="6" max="6" width="12.28515625" customWidth="1"/>
    <col min="7" max="26" width="8.7109375" customWidth="1"/>
  </cols>
  <sheetData>
    <row r="1" spans="2:8" ht="14.25" customHeight="1"/>
    <row r="2" spans="2:8" ht="14.25" customHeight="1"/>
    <row r="3" spans="2:8" ht="14.25" customHeight="1">
      <c r="B3" s="22" t="s">
        <v>0</v>
      </c>
      <c r="C3" s="23"/>
      <c r="D3" s="23"/>
      <c r="E3" s="23"/>
      <c r="F3" s="23"/>
      <c r="G3" s="23"/>
      <c r="H3" s="23"/>
    </row>
    <row r="4" spans="2:8" ht="14.25" customHeight="1"/>
    <row r="5" spans="2:8" ht="14.25" customHeight="1">
      <c r="B5" s="1" t="s">
        <v>1</v>
      </c>
    </row>
    <row r="6" spans="2:8" ht="14.25" customHeight="1"/>
    <row r="7" spans="2:8" ht="14.25" customHeight="1"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</row>
    <row r="8" spans="2:8" ht="14.25" customHeight="1">
      <c r="B8" s="3">
        <v>1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</row>
    <row r="9" spans="2:8" ht="14.25" customHeight="1">
      <c r="B9" s="3">
        <v>2</v>
      </c>
      <c r="C9" s="3" t="s">
        <v>8</v>
      </c>
      <c r="D9" s="3" t="s">
        <v>9</v>
      </c>
      <c r="E9" s="3" t="s">
        <v>10</v>
      </c>
      <c r="F9" s="3" t="s">
        <v>13</v>
      </c>
      <c r="G9" s="3" t="s">
        <v>12</v>
      </c>
    </row>
    <row r="10" spans="2:8" ht="14.25" customHeight="1">
      <c r="B10" s="3">
        <v>3</v>
      </c>
      <c r="C10" s="3" t="s">
        <v>14</v>
      </c>
      <c r="D10" s="3" t="s">
        <v>9</v>
      </c>
      <c r="E10" s="3" t="s">
        <v>10</v>
      </c>
      <c r="F10" s="3" t="s">
        <v>11</v>
      </c>
      <c r="G10" s="3" t="s">
        <v>15</v>
      </c>
    </row>
    <row r="11" spans="2:8" ht="14.25" customHeight="1">
      <c r="B11" s="3">
        <v>4</v>
      </c>
      <c r="C11" s="3" t="s">
        <v>16</v>
      </c>
      <c r="D11" s="3" t="s">
        <v>17</v>
      </c>
      <c r="E11" s="3" t="s">
        <v>10</v>
      </c>
      <c r="F11" s="3" t="s">
        <v>11</v>
      </c>
      <c r="G11" s="3" t="s">
        <v>15</v>
      </c>
    </row>
    <row r="12" spans="2:8" ht="14.25" customHeight="1">
      <c r="B12" s="3">
        <v>5</v>
      </c>
      <c r="C12" s="3" t="s">
        <v>16</v>
      </c>
      <c r="D12" s="3" t="s">
        <v>18</v>
      </c>
      <c r="E12" s="3" t="s">
        <v>19</v>
      </c>
      <c r="F12" s="3" t="s">
        <v>11</v>
      </c>
      <c r="G12" s="3" t="s">
        <v>15</v>
      </c>
    </row>
    <row r="13" spans="2:8" ht="14.25" customHeight="1">
      <c r="B13" s="3">
        <v>6</v>
      </c>
      <c r="C13" s="3" t="s">
        <v>16</v>
      </c>
      <c r="D13" s="3" t="s">
        <v>18</v>
      </c>
      <c r="E13" s="3" t="s">
        <v>19</v>
      </c>
      <c r="F13" s="3" t="s">
        <v>13</v>
      </c>
      <c r="G13" s="3" t="s">
        <v>12</v>
      </c>
    </row>
    <row r="14" spans="2:8" ht="14.25" customHeight="1">
      <c r="B14" s="3">
        <v>7</v>
      </c>
      <c r="C14" s="3" t="s">
        <v>14</v>
      </c>
      <c r="D14" s="3" t="s">
        <v>20</v>
      </c>
      <c r="E14" s="3" t="s">
        <v>19</v>
      </c>
      <c r="F14" s="3" t="s">
        <v>13</v>
      </c>
      <c r="G14" s="3" t="s">
        <v>15</v>
      </c>
    </row>
    <row r="15" spans="2:8" ht="14.25" customHeight="1"/>
    <row r="16" spans="2:8" ht="14.25" customHeight="1"/>
    <row r="17" spans="2:8" ht="14.25" customHeight="1">
      <c r="B17" s="1" t="s">
        <v>21</v>
      </c>
    </row>
    <row r="18" spans="2:8" ht="14.25" customHeight="1"/>
    <row r="19" spans="2:8" ht="14.25" customHeight="1">
      <c r="B19" s="4" t="s">
        <v>22</v>
      </c>
      <c r="C19" s="5">
        <f>4/7</f>
        <v>0.5714285714285714</v>
      </c>
    </row>
    <row r="20" spans="2:8" ht="14.25" customHeight="1">
      <c r="B20" s="4" t="s">
        <v>23</v>
      </c>
      <c r="C20" s="5">
        <f>3/7</f>
        <v>0.42857142857142855</v>
      </c>
    </row>
    <row r="21" spans="2:8" ht="14.25" customHeight="1"/>
    <row r="22" spans="2:8" ht="14.25" customHeight="1"/>
    <row r="23" spans="2:8" ht="14.25" customHeight="1">
      <c r="B23" s="1" t="s">
        <v>24</v>
      </c>
    </row>
    <row r="24" spans="2:8" ht="14.25" customHeight="1">
      <c r="B24" s="24" t="s">
        <v>25</v>
      </c>
      <c r="C24" s="23"/>
      <c r="D24" s="23"/>
      <c r="E24" s="23"/>
      <c r="F24" s="23"/>
      <c r="G24" s="23"/>
    </row>
    <row r="25" spans="2:8" ht="14.25" customHeight="1">
      <c r="B25" s="23"/>
      <c r="C25" s="23"/>
      <c r="D25" s="23"/>
      <c r="E25" s="23"/>
      <c r="F25" s="23"/>
      <c r="G25" s="23"/>
    </row>
    <row r="26" spans="2:8" ht="14.25" customHeight="1">
      <c r="B26" s="6"/>
      <c r="C26" s="6"/>
      <c r="D26" s="6"/>
      <c r="E26" s="6"/>
      <c r="F26" s="6"/>
      <c r="G26" s="6"/>
    </row>
    <row r="27" spans="2:8" ht="14.25" customHeight="1">
      <c r="B27" s="6"/>
      <c r="C27" s="6"/>
      <c r="D27" s="6"/>
      <c r="E27" s="6"/>
      <c r="F27" s="6"/>
      <c r="G27" s="6"/>
    </row>
    <row r="28" spans="2:8" ht="14.25" customHeight="1"/>
    <row r="29" spans="2:8" ht="14.25" customHeight="1">
      <c r="B29" s="4" t="s">
        <v>26</v>
      </c>
      <c r="F29" s="4" t="s">
        <v>27</v>
      </c>
    </row>
    <row r="30" spans="2:8" ht="14.25" customHeight="1"/>
    <row r="31" spans="2:8" ht="14.25" customHeight="1">
      <c r="B31" s="3" t="s">
        <v>3</v>
      </c>
      <c r="C31" s="3" t="s">
        <v>28</v>
      </c>
      <c r="D31" s="3" t="s">
        <v>29</v>
      </c>
      <c r="F31" s="3" t="s">
        <v>4</v>
      </c>
      <c r="G31" s="3" t="s">
        <v>28</v>
      </c>
      <c r="H31" s="3" t="s">
        <v>29</v>
      </c>
    </row>
    <row r="32" spans="2:8" ht="14.25" customHeight="1">
      <c r="B32" s="3" t="s">
        <v>8</v>
      </c>
      <c r="C32" s="3">
        <v>0</v>
      </c>
      <c r="D32" s="3">
        <v>2</v>
      </c>
      <c r="F32" s="7" t="s">
        <v>9</v>
      </c>
      <c r="G32" s="7">
        <v>1</v>
      </c>
      <c r="H32" s="7">
        <v>2</v>
      </c>
    </row>
    <row r="33" spans="2:8" ht="14.25" customHeight="1">
      <c r="B33" s="3" t="s">
        <v>16</v>
      </c>
      <c r="C33" s="3">
        <v>2</v>
      </c>
      <c r="D33" s="3">
        <v>1</v>
      </c>
      <c r="F33" s="7" t="s">
        <v>17</v>
      </c>
      <c r="G33" s="7">
        <v>1</v>
      </c>
      <c r="H33" s="7">
        <v>0</v>
      </c>
    </row>
    <row r="34" spans="2:8" ht="14.25" customHeight="1">
      <c r="B34" s="3" t="s">
        <v>14</v>
      </c>
      <c r="C34" s="3">
        <v>2</v>
      </c>
      <c r="D34" s="3">
        <v>0</v>
      </c>
      <c r="F34" s="7" t="s">
        <v>18</v>
      </c>
      <c r="G34" s="7">
        <v>2</v>
      </c>
      <c r="H34" s="7">
        <v>1</v>
      </c>
    </row>
    <row r="35" spans="2:8" ht="14.25" customHeight="1"/>
    <row r="36" spans="2:8" ht="14.25" customHeight="1"/>
    <row r="37" spans="2:8" ht="14.25" customHeight="1">
      <c r="B37" s="8" t="s">
        <v>30</v>
      </c>
      <c r="F37" s="4" t="s">
        <v>31</v>
      </c>
    </row>
    <row r="38" spans="2:8" ht="14.25" customHeight="1"/>
    <row r="39" spans="2:8" ht="14.25" customHeight="1">
      <c r="B39" s="7" t="s">
        <v>5</v>
      </c>
      <c r="C39" s="7" t="s">
        <v>28</v>
      </c>
      <c r="D39" s="7" t="s">
        <v>29</v>
      </c>
      <c r="F39" s="7" t="s">
        <v>6</v>
      </c>
      <c r="G39" s="7" t="s">
        <v>28</v>
      </c>
      <c r="H39" s="7" t="s">
        <v>29</v>
      </c>
    </row>
    <row r="40" spans="2:8" ht="14.25" customHeight="1">
      <c r="B40" s="7" t="s">
        <v>10</v>
      </c>
      <c r="C40" s="7">
        <v>2</v>
      </c>
      <c r="D40" s="7">
        <v>2</v>
      </c>
      <c r="F40" s="7" t="s">
        <v>11</v>
      </c>
      <c r="G40" s="7">
        <v>3</v>
      </c>
      <c r="H40" s="7">
        <v>1</v>
      </c>
    </row>
    <row r="41" spans="2:8" ht="14.25" customHeight="1">
      <c r="B41" s="7" t="s">
        <v>19</v>
      </c>
      <c r="C41" s="7">
        <v>2</v>
      </c>
      <c r="D41" s="7">
        <v>1</v>
      </c>
      <c r="F41" s="7" t="s">
        <v>13</v>
      </c>
      <c r="G41" s="7">
        <v>1</v>
      </c>
      <c r="H41" s="7">
        <v>2</v>
      </c>
    </row>
    <row r="42" spans="2:8" ht="14.25" customHeight="1"/>
    <row r="43" spans="2:8" ht="14.25" customHeight="1"/>
    <row r="44" spans="2:8" ht="14.25" customHeight="1"/>
    <row r="45" spans="2:8" ht="14.25" customHeight="1">
      <c r="B45" s="1" t="s">
        <v>32</v>
      </c>
    </row>
    <row r="46" spans="2:8" ht="14.25" customHeight="1">
      <c r="B46" s="4" t="s">
        <v>33</v>
      </c>
    </row>
    <row r="47" spans="2:8" ht="14.25" customHeight="1">
      <c r="B47" s="25" t="s">
        <v>34</v>
      </c>
      <c r="C47" s="23"/>
      <c r="D47" s="23"/>
      <c r="E47" s="23"/>
      <c r="F47" s="23"/>
      <c r="G47" s="23"/>
    </row>
    <row r="48" spans="2:8" ht="14.25" customHeight="1"/>
    <row r="49" spans="2:8" ht="14.25" customHeight="1">
      <c r="B49" s="1" t="s">
        <v>35</v>
      </c>
      <c r="C49" s="1"/>
      <c r="D49" s="1"/>
      <c r="E49" s="1"/>
      <c r="F49" s="1"/>
      <c r="G49" s="1"/>
      <c r="H49" s="1"/>
    </row>
    <row r="50" spans="2:8" ht="14.25" customHeight="1">
      <c r="B50" s="1" t="s">
        <v>36</v>
      </c>
      <c r="C50" s="1"/>
      <c r="D50" s="1"/>
      <c r="E50" s="1"/>
      <c r="F50" s="1"/>
      <c r="G50" s="1"/>
      <c r="H50" s="1"/>
    </row>
    <row r="51" spans="2:8" ht="14.25" customHeight="1"/>
    <row r="52" spans="2:8" ht="14.25" customHeight="1">
      <c r="B52" s="4" t="s">
        <v>37</v>
      </c>
      <c r="C52" s="5">
        <f>4/7</f>
        <v>0.5714285714285714</v>
      </c>
    </row>
    <row r="53" spans="2:8" ht="14.25" customHeight="1">
      <c r="B53" s="4" t="s">
        <v>38</v>
      </c>
      <c r="C53" s="4">
        <f>0/4</f>
        <v>0</v>
      </c>
      <c r="D53" s="26" t="s">
        <v>39</v>
      </c>
      <c r="E53" s="23"/>
      <c r="F53" s="23"/>
      <c r="G53" s="23"/>
      <c r="H53" s="5">
        <f>1/7</f>
        <v>0.14285714285714285</v>
      </c>
    </row>
    <row r="54" spans="2:8" ht="14.25" customHeight="1">
      <c r="B54" s="4" t="s">
        <v>40</v>
      </c>
      <c r="C54" s="9">
        <f t="shared" ref="C54:C55" si="0">2/4</f>
        <v>0.5</v>
      </c>
    </row>
    <row r="55" spans="2:8" ht="14.25" customHeight="1">
      <c r="B55" s="4" t="s">
        <v>41</v>
      </c>
      <c r="C55" s="9">
        <f t="shared" si="0"/>
        <v>0.5</v>
      </c>
    </row>
    <row r="56" spans="2:8" ht="14.25" customHeight="1">
      <c r="B56" s="4" t="s">
        <v>42</v>
      </c>
      <c r="C56" s="5">
        <f>1/4</f>
        <v>0.25</v>
      </c>
    </row>
    <row r="57" spans="2:8" ht="14.25" customHeight="1"/>
    <row r="58" spans="2:8" ht="14.25" customHeight="1">
      <c r="B58" s="4" t="s">
        <v>43</v>
      </c>
      <c r="C58" s="10">
        <f>C52*H53*C54*C55*C56</f>
        <v>5.1020408163265302E-3</v>
      </c>
    </row>
    <row r="59" spans="2:8" ht="14.25" customHeight="1"/>
    <row r="60" spans="2:8" ht="14.25" customHeight="1"/>
    <row r="61" spans="2:8" ht="14.25" customHeight="1">
      <c r="B61" s="1" t="s">
        <v>44</v>
      </c>
      <c r="C61" s="1"/>
      <c r="D61" s="1"/>
      <c r="E61" s="1"/>
      <c r="F61" s="1"/>
      <c r="G61" s="1"/>
    </row>
    <row r="62" spans="2:8" ht="14.25" customHeight="1"/>
    <row r="63" spans="2:8" ht="14.25" customHeight="1">
      <c r="B63" s="4" t="s">
        <v>45</v>
      </c>
      <c r="C63" s="5">
        <f>3/7</f>
        <v>0.42857142857142855</v>
      </c>
    </row>
    <row r="64" spans="2:8" ht="14.25" customHeight="1">
      <c r="B64" s="4" t="s">
        <v>46</v>
      </c>
      <c r="C64" s="5">
        <f>2/3</f>
        <v>0.66666666666666663</v>
      </c>
    </row>
    <row r="65" spans="2:7" ht="14.25" customHeight="1">
      <c r="B65" s="4" t="s">
        <v>47</v>
      </c>
      <c r="C65" s="5">
        <v>0.33333333333333331</v>
      </c>
    </row>
    <row r="66" spans="2:7" ht="14.25" customHeight="1">
      <c r="B66" s="4" t="s">
        <v>48</v>
      </c>
      <c r="C66" s="5">
        <v>0.66666666666666663</v>
      </c>
    </row>
    <row r="67" spans="2:7" ht="14.25" customHeight="1">
      <c r="B67" s="4" t="s">
        <v>49</v>
      </c>
      <c r="C67" s="5">
        <v>0.66666666666666663</v>
      </c>
    </row>
    <row r="68" spans="2:7" ht="14.25" customHeight="1"/>
    <row r="69" spans="2:7" ht="14.25" customHeight="1">
      <c r="B69" s="4" t="s">
        <v>50</v>
      </c>
      <c r="C69" s="10">
        <f>C63*C64*C65*C66*C67</f>
        <v>4.2328042328042326E-2</v>
      </c>
    </row>
    <row r="70" spans="2:7" ht="14.25" customHeight="1"/>
    <row r="71" spans="2:7" ht="14.25" customHeight="1">
      <c r="B71" s="1" t="s">
        <v>51</v>
      </c>
    </row>
    <row r="72" spans="2:7" ht="14.25" customHeight="1"/>
    <row r="73" spans="2:7" ht="14.25" customHeight="1">
      <c r="B73" s="11" t="s">
        <v>52</v>
      </c>
    </row>
    <row r="74" spans="2:7" ht="14.25" customHeight="1"/>
    <row r="75" spans="2:7" ht="14.25" customHeight="1">
      <c r="B75" s="4" t="s">
        <v>53</v>
      </c>
    </row>
    <row r="76" spans="2:7" ht="14.25" customHeight="1">
      <c r="B76" s="12"/>
      <c r="C76" s="1"/>
      <c r="D76" s="1"/>
      <c r="E76" s="1"/>
      <c r="F76" s="1"/>
      <c r="G76" s="1"/>
    </row>
    <row r="77" spans="2:7" ht="14.25" customHeight="1">
      <c r="B77" s="13" t="s">
        <v>54</v>
      </c>
    </row>
    <row r="78" spans="2:7" ht="14.25" customHeight="1"/>
    <row r="79" spans="2:7" ht="14.25" customHeight="1">
      <c r="B79" s="4" t="s">
        <v>55</v>
      </c>
    </row>
    <row r="80" spans="2:7" ht="14.25" customHeight="1"/>
    <row r="81" spans="4:4" ht="14.25" customHeight="1">
      <c r="D81" s="14"/>
    </row>
    <row r="82" spans="4:4" ht="14.25" customHeight="1">
      <c r="D82" s="15"/>
    </row>
    <row r="83" spans="4:4" ht="14.25" customHeight="1"/>
    <row r="84" spans="4:4" ht="14.25" customHeight="1"/>
    <row r="85" spans="4:4" ht="14.25" customHeight="1"/>
    <row r="86" spans="4:4" ht="14.25" customHeight="1"/>
    <row r="87" spans="4:4" ht="14.25" customHeight="1"/>
    <row r="88" spans="4:4" ht="14.25" customHeight="1"/>
    <row r="89" spans="4:4" ht="14.25" customHeight="1"/>
    <row r="90" spans="4:4" ht="14.25" customHeight="1"/>
    <row r="91" spans="4:4" ht="14.25" customHeight="1"/>
    <row r="92" spans="4:4" ht="14.25" customHeight="1"/>
    <row r="93" spans="4:4" ht="14.25" customHeight="1"/>
    <row r="94" spans="4:4" ht="14.25" customHeight="1"/>
    <row r="95" spans="4:4" ht="14.25" customHeight="1"/>
    <row r="96" spans="4:4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3:H3"/>
    <mergeCell ref="B24:G25"/>
    <mergeCell ref="B47:G47"/>
    <mergeCell ref="D53:G5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C1:Q1000"/>
  <sheetViews>
    <sheetView tabSelected="1" topLeftCell="A55" zoomScaleNormal="100" workbookViewId="0">
      <selection activeCell="E46" sqref="E46"/>
    </sheetView>
  </sheetViews>
  <sheetFormatPr defaultColWidth="14.42578125" defaultRowHeight="15" customHeight="1"/>
  <cols>
    <col min="1" max="2" width="8.7109375" customWidth="1"/>
    <col min="3" max="3" width="21.7109375" customWidth="1"/>
    <col min="4" max="4" width="18.85546875" customWidth="1"/>
    <col min="5" max="5" width="13.140625" customWidth="1"/>
    <col min="6" max="26" width="8.7109375" customWidth="1"/>
  </cols>
  <sheetData>
    <row r="1" spans="3:8" ht="14.25" customHeight="1"/>
    <row r="2" spans="3:8" ht="14.25" customHeight="1">
      <c r="C2" s="27" t="s">
        <v>56</v>
      </c>
      <c r="D2" s="23"/>
      <c r="E2" s="23"/>
      <c r="F2" s="23"/>
      <c r="G2" s="23"/>
      <c r="H2" s="23"/>
    </row>
    <row r="3" spans="3:8" ht="14.25" customHeight="1"/>
    <row r="4" spans="3:8" ht="14.25" customHeight="1">
      <c r="C4" s="4" t="s">
        <v>57</v>
      </c>
      <c r="D4" s="41" t="s">
        <v>72</v>
      </c>
    </row>
    <row r="5" spans="3:8" ht="14.25" customHeight="1">
      <c r="C5" s="4" t="s">
        <v>58</v>
      </c>
      <c r="D5" s="42">
        <v>42223111005</v>
      </c>
    </row>
    <row r="6" spans="3:8" ht="14.25" customHeight="1">
      <c r="C6" s="4" t="s">
        <v>59</v>
      </c>
      <c r="D6" s="41" t="s">
        <v>73</v>
      </c>
    </row>
    <row r="7" spans="3:8" ht="14.25" customHeight="1"/>
    <row r="8" spans="3:8" ht="14.25" customHeight="1">
      <c r="C8" s="1" t="s">
        <v>60</v>
      </c>
    </row>
    <row r="9" spans="3:8" ht="14.25" customHeight="1"/>
    <row r="10" spans="3:8" ht="14.25" customHeight="1">
      <c r="C10" s="16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</row>
    <row r="11" spans="3:8" ht="14.25" customHeight="1">
      <c r="C11" s="17">
        <v>1</v>
      </c>
      <c r="D11" s="17" t="s">
        <v>8</v>
      </c>
      <c r="E11" s="17" t="s">
        <v>9</v>
      </c>
      <c r="F11" s="17" t="s">
        <v>10</v>
      </c>
      <c r="G11" s="17" t="s">
        <v>11</v>
      </c>
      <c r="H11" s="17" t="s">
        <v>12</v>
      </c>
    </row>
    <row r="12" spans="3:8" ht="14.25" customHeight="1">
      <c r="C12" s="17">
        <v>2</v>
      </c>
      <c r="D12" s="17" t="s">
        <v>8</v>
      </c>
      <c r="E12" s="17" t="s">
        <v>9</v>
      </c>
      <c r="F12" s="17" t="s">
        <v>10</v>
      </c>
      <c r="G12" s="17" t="s">
        <v>13</v>
      </c>
      <c r="H12" s="17" t="s">
        <v>12</v>
      </c>
    </row>
    <row r="13" spans="3:8" ht="14.25" customHeight="1">
      <c r="C13" s="17">
        <v>3</v>
      </c>
      <c r="D13" s="17" t="s">
        <v>14</v>
      </c>
      <c r="E13" s="17" t="s">
        <v>9</v>
      </c>
      <c r="F13" s="17" t="s">
        <v>10</v>
      </c>
      <c r="G13" s="17" t="s">
        <v>11</v>
      </c>
      <c r="H13" s="17" t="s">
        <v>15</v>
      </c>
    </row>
    <row r="14" spans="3:8" ht="14.25" customHeight="1">
      <c r="C14" s="17">
        <v>4</v>
      </c>
      <c r="D14" s="17" t="s">
        <v>16</v>
      </c>
      <c r="E14" s="17" t="s">
        <v>17</v>
      </c>
      <c r="F14" s="17" t="s">
        <v>10</v>
      </c>
      <c r="G14" s="17" t="s">
        <v>11</v>
      </c>
      <c r="H14" s="17" t="s">
        <v>15</v>
      </c>
    </row>
    <row r="15" spans="3:8" ht="14.25" customHeight="1">
      <c r="C15" s="17">
        <v>5</v>
      </c>
      <c r="D15" s="17" t="s">
        <v>16</v>
      </c>
      <c r="E15" s="17" t="s">
        <v>18</v>
      </c>
      <c r="F15" s="17" t="s">
        <v>19</v>
      </c>
      <c r="G15" s="17" t="s">
        <v>11</v>
      </c>
      <c r="H15" s="17" t="s">
        <v>15</v>
      </c>
    </row>
    <row r="16" spans="3:8" ht="14.25" customHeight="1">
      <c r="C16" s="17">
        <v>6</v>
      </c>
      <c r="D16" s="17" t="s">
        <v>16</v>
      </c>
      <c r="E16" s="17" t="s">
        <v>18</v>
      </c>
      <c r="F16" s="17" t="s">
        <v>19</v>
      </c>
      <c r="G16" s="17" t="s">
        <v>13</v>
      </c>
      <c r="H16" s="17" t="s">
        <v>12</v>
      </c>
    </row>
    <row r="17" spans="3:17" ht="14.25" customHeight="1">
      <c r="C17" s="17">
        <v>7</v>
      </c>
      <c r="D17" s="17" t="s">
        <v>14</v>
      </c>
      <c r="E17" s="17" t="s">
        <v>20</v>
      </c>
      <c r="F17" s="17" t="s">
        <v>19</v>
      </c>
      <c r="G17" s="17" t="s">
        <v>13</v>
      </c>
      <c r="H17" s="17" t="s">
        <v>15</v>
      </c>
    </row>
    <row r="18" spans="3:17" ht="14.25" customHeight="1">
      <c r="C18" s="17">
        <v>8</v>
      </c>
      <c r="D18" s="17" t="s">
        <v>8</v>
      </c>
      <c r="E18" s="17" t="s">
        <v>17</v>
      </c>
      <c r="F18" s="17" t="s">
        <v>10</v>
      </c>
      <c r="G18" s="17" t="s">
        <v>11</v>
      </c>
      <c r="H18" s="17" t="s">
        <v>12</v>
      </c>
    </row>
    <row r="19" spans="3:17" ht="14.25" customHeight="1"/>
    <row r="20" spans="3:17" ht="14.25" customHeight="1"/>
    <row r="21" spans="3:17" ht="14.25" customHeight="1">
      <c r="C21" s="18" t="s">
        <v>61</v>
      </c>
      <c r="D21" s="19"/>
      <c r="K21" s="31" t="s">
        <v>21</v>
      </c>
      <c r="L21" s="30"/>
      <c r="M21" s="30"/>
      <c r="N21" s="30"/>
      <c r="O21" s="30"/>
      <c r="P21" s="30"/>
    </row>
    <row r="22" spans="3:17" ht="14.25" customHeight="1">
      <c r="C22" s="28" t="s">
        <v>62</v>
      </c>
      <c r="D22" s="23"/>
      <c r="E22" s="23"/>
      <c r="F22" s="23"/>
      <c r="G22" s="23"/>
      <c r="H22" s="23"/>
      <c r="K22" s="30"/>
      <c r="L22" s="30"/>
      <c r="M22" s="30"/>
      <c r="N22" s="30"/>
      <c r="O22" s="30"/>
      <c r="P22" s="30"/>
    </row>
    <row r="23" spans="3:17" ht="14.25" customHeight="1">
      <c r="C23" s="23"/>
      <c r="D23" s="23"/>
      <c r="E23" s="23"/>
      <c r="F23" s="23"/>
      <c r="G23" s="23"/>
      <c r="H23" s="23"/>
      <c r="K23" s="33" t="s">
        <v>22</v>
      </c>
      <c r="L23" s="38">
        <v>0.5</v>
      </c>
      <c r="M23" s="30"/>
      <c r="N23" s="30"/>
      <c r="O23" s="30"/>
      <c r="P23" s="30"/>
    </row>
    <row r="24" spans="3:17" ht="14.25" customHeight="1">
      <c r="C24" s="23"/>
      <c r="D24" s="23"/>
      <c r="E24" s="23"/>
      <c r="F24" s="23"/>
      <c r="G24" s="23"/>
      <c r="H24" s="23"/>
      <c r="K24" s="33" t="s">
        <v>23</v>
      </c>
      <c r="L24" s="38">
        <f>4/8</f>
        <v>0.5</v>
      </c>
      <c r="M24" s="30"/>
      <c r="N24" s="30"/>
      <c r="O24" s="30"/>
      <c r="P24" s="30"/>
    </row>
    <row r="25" spans="3:17" ht="14.25" customHeight="1">
      <c r="C25" s="20" t="s">
        <v>63</v>
      </c>
      <c r="D25" s="21"/>
      <c r="K25" s="30"/>
      <c r="L25" s="30"/>
      <c r="M25" s="30"/>
      <c r="N25" s="30"/>
      <c r="O25" s="30"/>
      <c r="P25" s="30"/>
    </row>
    <row r="26" spans="3:17" ht="14.25" customHeight="1">
      <c r="C26" s="21" t="s">
        <v>64</v>
      </c>
      <c r="D26" s="21"/>
      <c r="K26" s="30"/>
      <c r="L26" s="30"/>
      <c r="M26" s="30"/>
      <c r="N26" s="30"/>
      <c r="O26" s="30"/>
      <c r="P26" s="30"/>
    </row>
    <row r="27" spans="3:17" ht="14.25" customHeight="1">
      <c r="C27" s="21" t="s">
        <v>65</v>
      </c>
      <c r="D27" s="21"/>
      <c r="K27" s="31" t="s">
        <v>24</v>
      </c>
      <c r="L27" s="30"/>
      <c r="M27" s="30"/>
      <c r="N27" s="30"/>
      <c r="O27" s="30"/>
      <c r="P27" s="30"/>
    </row>
    <row r="28" spans="3:17" ht="14.25" customHeight="1">
      <c r="C28" s="20" t="s">
        <v>66</v>
      </c>
      <c r="D28" s="21"/>
      <c r="K28" s="39" t="s">
        <v>25</v>
      </c>
      <c r="L28" s="29"/>
      <c r="M28" s="29"/>
      <c r="N28" s="29"/>
      <c r="O28" s="29"/>
      <c r="P28" s="29"/>
    </row>
    <row r="29" spans="3:17" ht="14.25" customHeight="1">
      <c r="K29" s="29"/>
      <c r="L29" s="29"/>
      <c r="M29" s="29"/>
      <c r="N29" s="29"/>
      <c r="O29" s="29"/>
      <c r="P29" s="29"/>
    </row>
    <row r="30" spans="3:17" ht="14.25" customHeight="1">
      <c r="C30" s="19" t="s">
        <v>67</v>
      </c>
      <c r="D30" s="21"/>
      <c r="E30" s="21"/>
      <c r="F30" s="21"/>
      <c r="G30" s="21"/>
      <c r="H30" s="21"/>
    </row>
    <row r="31" spans="3:17" ht="14.25" customHeight="1">
      <c r="C31" s="21" t="s">
        <v>68</v>
      </c>
      <c r="D31" s="21"/>
      <c r="E31" s="21"/>
      <c r="F31" s="21"/>
      <c r="G31" s="21"/>
      <c r="H31" s="21"/>
      <c r="K31" s="33" t="s">
        <v>26</v>
      </c>
      <c r="L31" s="30"/>
      <c r="M31" s="30"/>
      <c r="N31" s="30"/>
      <c r="O31" s="33" t="s">
        <v>27</v>
      </c>
      <c r="P31" s="30"/>
      <c r="Q31" s="30"/>
    </row>
    <row r="32" spans="3:17" ht="14.25" customHeight="1">
      <c r="C32" s="21" t="s">
        <v>69</v>
      </c>
      <c r="D32" s="21"/>
      <c r="E32" s="21"/>
      <c r="F32" s="21"/>
      <c r="G32" s="21"/>
      <c r="H32" s="21"/>
      <c r="K32" s="30"/>
      <c r="L32" s="30"/>
      <c r="M32" s="30"/>
      <c r="N32" s="30"/>
      <c r="O32" s="30"/>
      <c r="P32" s="30"/>
      <c r="Q32" s="30"/>
    </row>
    <row r="33" spans="3:17" ht="14.25" customHeight="1">
      <c r="C33" s="21" t="s">
        <v>70</v>
      </c>
      <c r="D33" s="21"/>
      <c r="E33" s="21"/>
      <c r="F33" s="21"/>
      <c r="G33" s="21"/>
      <c r="H33" s="21"/>
      <c r="K33" s="36" t="s">
        <v>3</v>
      </c>
      <c r="L33" s="36" t="s">
        <v>28</v>
      </c>
      <c r="M33" s="36" t="s">
        <v>78</v>
      </c>
      <c r="N33" s="30"/>
      <c r="O33" s="36" t="s">
        <v>4</v>
      </c>
      <c r="P33" s="36" t="s">
        <v>28</v>
      </c>
      <c r="Q33" s="36" t="s">
        <v>78</v>
      </c>
    </row>
    <row r="34" spans="3:17" ht="14.25" customHeight="1">
      <c r="C34" s="21" t="s">
        <v>71</v>
      </c>
      <c r="D34" s="21"/>
      <c r="E34" s="21"/>
      <c r="F34" s="21"/>
      <c r="G34" s="21"/>
      <c r="H34" s="21"/>
      <c r="K34" s="36" t="s">
        <v>8</v>
      </c>
      <c r="L34" s="36">
        <v>0</v>
      </c>
      <c r="M34" s="36">
        <v>3</v>
      </c>
      <c r="N34" s="30"/>
      <c r="O34" s="37" t="s">
        <v>9</v>
      </c>
      <c r="P34" s="37">
        <v>2</v>
      </c>
      <c r="Q34" s="37">
        <v>1</v>
      </c>
    </row>
    <row r="35" spans="3:17" ht="14.25" customHeight="1">
      <c r="K35" s="36" t="s">
        <v>16</v>
      </c>
      <c r="L35" s="36">
        <v>3</v>
      </c>
      <c r="M35" s="36">
        <v>1</v>
      </c>
      <c r="N35" s="30"/>
      <c r="O35" s="37" t="s">
        <v>17</v>
      </c>
      <c r="P35" s="37">
        <v>1</v>
      </c>
      <c r="Q35" s="37">
        <v>1</v>
      </c>
    </row>
    <row r="36" spans="3:17" ht="14.25" customHeight="1">
      <c r="K36" s="36" t="s">
        <v>14</v>
      </c>
      <c r="L36" s="36">
        <v>2</v>
      </c>
      <c r="M36" s="36">
        <v>0</v>
      </c>
      <c r="N36" s="30"/>
      <c r="O36" s="37" t="s">
        <v>18</v>
      </c>
      <c r="P36" s="37">
        <v>2</v>
      </c>
      <c r="Q36" s="37">
        <v>1</v>
      </c>
    </row>
    <row r="37" spans="3:17" ht="14.25" customHeight="1"/>
    <row r="38" spans="3:17" ht="14.25" customHeight="1"/>
    <row r="39" spans="3:17" ht="14.25" customHeight="1">
      <c r="K39" s="40" t="s">
        <v>30</v>
      </c>
      <c r="L39" s="30"/>
      <c r="M39" s="30"/>
      <c r="N39" s="30"/>
      <c r="O39" s="33" t="s">
        <v>31</v>
      </c>
      <c r="P39" s="30"/>
      <c r="Q39" s="30"/>
    </row>
    <row r="40" spans="3:17" ht="14.25" customHeight="1">
      <c r="K40" s="30"/>
      <c r="L40" s="30"/>
      <c r="M40" s="30"/>
      <c r="N40" s="30"/>
      <c r="O40" s="30"/>
      <c r="P40" s="30"/>
      <c r="Q40" s="30"/>
    </row>
    <row r="41" spans="3:17" ht="14.25" customHeight="1">
      <c r="C41" s="4" t="s">
        <v>37</v>
      </c>
      <c r="D41" s="5">
        <v>0.5</v>
      </c>
      <c r="E41" s="30"/>
      <c r="F41" s="30"/>
      <c r="G41" s="30"/>
      <c r="H41" s="30"/>
      <c r="I41" s="30"/>
      <c r="K41" s="37" t="s">
        <v>5</v>
      </c>
      <c r="L41" s="37" t="s">
        <v>28</v>
      </c>
      <c r="M41" s="37" t="s">
        <v>78</v>
      </c>
      <c r="N41" s="30"/>
      <c r="O41" s="37" t="s">
        <v>6</v>
      </c>
      <c r="P41" s="37" t="s">
        <v>28</v>
      </c>
      <c r="Q41" s="37" t="s">
        <v>78</v>
      </c>
    </row>
    <row r="42" spans="3:17" ht="14.25" customHeight="1">
      <c r="C42" s="4" t="s">
        <v>38</v>
      </c>
      <c r="D42" s="4">
        <f>0/4</f>
        <v>0</v>
      </c>
      <c r="E42" s="32" t="s">
        <v>74</v>
      </c>
      <c r="F42" s="32"/>
      <c r="G42" s="32"/>
      <c r="H42" s="32"/>
      <c r="I42" s="5">
        <f>1/8</f>
        <v>0.125</v>
      </c>
      <c r="K42" s="37" t="s">
        <v>10</v>
      </c>
      <c r="L42" s="37">
        <v>2</v>
      </c>
      <c r="M42" s="37">
        <v>3</v>
      </c>
      <c r="N42" s="30"/>
      <c r="O42" s="37" t="s">
        <v>11</v>
      </c>
      <c r="P42" s="37">
        <v>3</v>
      </c>
      <c r="Q42" s="37">
        <v>2</v>
      </c>
    </row>
    <row r="43" spans="3:17" ht="14.25" customHeight="1">
      <c r="C43" s="4" t="s">
        <v>40</v>
      </c>
      <c r="D43" s="9">
        <f t="shared" ref="D43:D44" si="0">2/4</f>
        <v>0.5</v>
      </c>
      <c r="E43" s="30"/>
      <c r="F43" s="30"/>
      <c r="G43" s="30"/>
      <c r="H43" s="30"/>
      <c r="I43" s="30"/>
      <c r="K43" s="37" t="s">
        <v>19</v>
      </c>
      <c r="L43" s="37">
        <v>2</v>
      </c>
      <c r="M43" s="37">
        <v>1</v>
      </c>
      <c r="N43" s="30"/>
      <c r="O43" s="37" t="s">
        <v>13</v>
      </c>
      <c r="P43" s="37">
        <v>1</v>
      </c>
      <c r="Q43" s="37">
        <v>2</v>
      </c>
    </row>
    <row r="44" spans="3:17" ht="14.25" customHeight="1">
      <c r="C44" s="4" t="s">
        <v>41</v>
      </c>
      <c r="D44" s="9">
        <f t="shared" si="0"/>
        <v>0.5</v>
      </c>
      <c r="E44" s="30"/>
      <c r="F44" s="30"/>
      <c r="G44" s="30"/>
      <c r="H44" s="30"/>
      <c r="I44" s="30"/>
    </row>
    <row r="45" spans="3:17" ht="14.25" customHeight="1">
      <c r="C45" s="33" t="s">
        <v>75</v>
      </c>
      <c r="D45" s="5">
        <f>3/4</f>
        <v>0.75</v>
      </c>
      <c r="E45" s="30"/>
      <c r="F45" s="30"/>
      <c r="G45" s="30"/>
      <c r="H45" s="30"/>
      <c r="I45" s="30"/>
    </row>
    <row r="46" spans="3:17" ht="14.25" customHeight="1">
      <c r="C46" s="30"/>
      <c r="D46" s="30"/>
      <c r="E46" s="30"/>
      <c r="F46" s="30"/>
      <c r="G46" s="30"/>
      <c r="H46" s="30"/>
      <c r="I46" s="30"/>
    </row>
    <row r="47" spans="3:17" ht="14.25" customHeight="1">
      <c r="C47" s="4" t="s">
        <v>43</v>
      </c>
      <c r="D47" s="10">
        <f>D41*I42*D43*D44*D45</f>
        <v>1.171875E-2</v>
      </c>
      <c r="E47" s="30"/>
      <c r="F47" s="30"/>
      <c r="G47" s="30"/>
      <c r="H47" s="30"/>
      <c r="I47" s="30"/>
    </row>
    <row r="48" spans="3:17" ht="14.25" customHeight="1"/>
    <row r="49" spans="3:8" ht="14.25" customHeight="1"/>
    <row r="50" spans="3:8" ht="14.25" customHeight="1">
      <c r="C50" s="31" t="s">
        <v>76</v>
      </c>
      <c r="D50" s="1"/>
      <c r="E50" s="1"/>
      <c r="F50" s="1"/>
      <c r="G50" s="1"/>
    </row>
    <row r="51" spans="3:8" ht="14.25" customHeight="1">
      <c r="C51" s="30"/>
      <c r="D51" s="30"/>
      <c r="E51" s="30"/>
      <c r="F51" s="30"/>
      <c r="G51" s="30"/>
    </row>
    <row r="52" spans="3:8" ht="14.25" customHeight="1">
      <c r="C52" s="4" t="s">
        <v>45</v>
      </c>
      <c r="D52" s="5">
        <f>4/8</f>
        <v>0.5</v>
      </c>
      <c r="E52" s="30"/>
      <c r="F52" s="30"/>
      <c r="G52" s="30"/>
    </row>
    <row r="53" spans="3:8" ht="14.25" customHeight="1">
      <c r="C53" s="4" t="s">
        <v>46</v>
      </c>
      <c r="D53" s="5">
        <f>3/4</f>
        <v>0.75</v>
      </c>
      <c r="E53" s="30"/>
      <c r="F53" s="30"/>
      <c r="G53" s="30"/>
    </row>
    <row r="54" spans="3:8" ht="14.25" customHeight="1">
      <c r="C54" s="4" t="s">
        <v>47</v>
      </c>
      <c r="D54" s="5">
        <v>0.25</v>
      </c>
      <c r="E54" s="30"/>
      <c r="F54" s="30"/>
      <c r="G54" s="30"/>
    </row>
    <row r="55" spans="3:8" ht="14.25" customHeight="1">
      <c r="C55" s="4" t="s">
        <v>48</v>
      </c>
      <c r="D55" s="5">
        <v>0.75</v>
      </c>
      <c r="E55" s="30"/>
      <c r="F55" s="30"/>
      <c r="G55" s="30"/>
    </row>
    <row r="56" spans="3:8" ht="14.25" customHeight="1">
      <c r="C56" s="33" t="s">
        <v>77</v>
      </c>
      <c r="D56" s="5">
        <v>0.5</v>
      </c>
      <c r="E56" s="30"/>
      <c r="F56" s="30"/>
      <c r="G56" s="30"/>
    </row>
    <row r="57" spans="3:8" ht="14.25" customHeight="1">
      <c r="C57" s="30"/>
      <c r="D57" s="30"/>
      <c r="E57" s="30"/>
      <c r="F57" s="30"/>
      <c r="G57" s="30"/>
    </row>
    <row r="58" spans="3:8" ht="14.25" customHeight="1">
      <c r="C58" s="4" t="s">
        <v>50</v>
      </c>
      <c r="D58" s="10">
        <f>D52*D53*D54*D55*D56</f>
        <v>3.515625E-2</v>
      </c>
      <c r="E58" s="30"/>
      <c r="F58" s="30"/>
      <c r="G58" s="30"/>
    </row>
    <row r="59" spans="3:8" ht="14.25" customHeight="1"/>
    <row r="60" spans="3:8" ht="14.25" customHeight="1"/>
    <row r="61" spans="3:8" ht="14.25" customHeight="1"/>
    <row r="62" spans="3:8" ht="14.25" customHeight="1">
      <c r="C62" s="1" t="s">
        <v>51</v>
      </c>
      <c r="D62" s="30"/>
      <c r="E62" s="30"/>
      <c r="F62" s="30"/>
      <c r="G62" s="30"/>
      <c r="H62" s="30"/>
    </row>
    <row r="63" spans="3:8" ht="14.25" customHeight="1">
      <c r="C63" s="30"/>
      <c r="D63" s="30"/>
      <c r="E63" s="30"/>
      <c r="F63" s="30"/>
      <c r="G63" s="30"/>
      <c r="H63" s="30"/>
    </row>
    <row r="64" spans="3:8" ht="14.25" customHeight="1">
      <c r="C64" s="11" t="s">
        <v>52</v>
      </c>
      <c r="D64" s="30"/>
      <c r="E64" s="30"/>
      <c r="F64" s="30"/>
      <c r="G64" s="30"/>
      <c r="H64" s="30"/>
    </row>
    <row r="65" spans="3:8" ht="14.25" customHeight="1">
      <c r="C65" s="30"/>
      <c r="D65" s="30"/>
      <c r="E65" s="30"/>
      <c r="F65" s="30"/>
      <c r="G65" s="30"/>
      <c r="H65" s="30"/>
    </row>
    <row r="66" spans="3:8" ht="14.25" customHeight="1">
      <c r="C66" s="4" t="s">
        <v>53</v>
      </c>
      <c r="D66" s="30"/>
      <c r="E66" s="30"/>
      <c r="F66" s="30"/>
      <c r="G66" s="30"/>
      <c r="H66" s="30"/>
    </row>
    <row r="67" spans="3:8" ht="14.25" customHeight="1">
      <c r="C67" s="12"/>
      <c r="D67" s="1"/>
      <c r="E67" s="1"/>
      <c r="F67" s="1"/>
      <c r="G67" s="1"/>
      <c r="H67" s="30"/>
    </row>
    <row r="68" spans="3:8" ht="14.25" customHeight="1">
      <c r="C68" s="13" t="s">
        <v>54</v>
      </c>
      <c r="D68" s="30"/>
      <c r="E68" s="34"/>
      <c r="F68" s="30"/>
      <c r="G68" s="35" t="s">
        <v>11</v>
      </c>
      <c r="H68" s="30"/>
    </row>
    <row r="69" spans="3:8" ht="14.25" customHeight="1">
      <c r="C69" s="30"/>
      <c r="D69" s="30"/>
      <c r="E69" s="30"/>
      <c r="F69" s="30"/>
      <c r="G69" s="30"/>
      <c r="H69" s="30"/>
    </row>
    <row r="70" spans="3:8" ht="14.25" customHeight="1">
      <c r="C70" s="4" t="s">
        <v>55</v>
      </c>
      <c r="D70" s="30"/>
      <c r="E70" s="30"/>
      <c r="F70" s="30"/>
      <c r="G70" s="30"/>
      <c r="H70" s="30"/>
    </row>
    <row r="71" spans="3:8" ht="14.25" customHeight="1">
      <c r="C71" s="30"/>
      <c r="D71" s="30"/>
      <c r="E71" s="30"/>
      <c r="F71" s="30"/>
      <c r="G71" s="30"/>
      <c r="H71" s="30"/>
    </row>
    <row r="72" spans="3:8" ht="14.25" customHeight="1"/>
    <row r="73" spans="3:8" ht="14.25" customHeight="1"/>
    <row r="74" spans="3:8" ht="14.25" customHeight="1"/>
    <row r="75" spans="3:8" ht="14.25" customHeight="1"/>
    <row r="76" spans="3:8" ht="14.25" customHeight="1"/>
    <row r="77" spans="3:8" ht="14.25" customHeight="1"/>
    <row r="78" spans="3:8" ht="14.25" customHeight="1"/>
    <row r="79" spans="3:8" ht="14.25" customHeight="1"/>
    <row r="80" spans="3:8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C2:H2"/>
    <mergeCell ref="C22:H24"/>
    <mergeCell ref="E42:H42"/>
    <mergeCell ref="K28:P2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NB</vt:lpstr>
      <vt:lpstr>Quiz 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My Computer</cp:lastModifiedBy>
  <dcterms:created xsi:type="dcterms:W3CDTF">2025-04-15T08:45:59Z</dcterms:created>
  <dcterms:modified xsi:type="dcterms:W3CDTF">2026-04-27T10:41:02Z</dcterms:modified>
</cp:coreProperties>
</file>